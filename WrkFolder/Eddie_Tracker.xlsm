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homas\Desktop\WrkFolder\"/>
    </mc:Choice>
  </mc:AlternateContent>
  <xr:revisionPtr revIDLastSave="0" documentId="13_ncr:1_{E7070BEA-9A3A-41A6-A4E9-284A2DB6958F}" xr6:coauthVersionLast="46" xr6:coauthVersionMax="46" xr10:uidLastSave="{00000000-0000-0000-0000-000000000000}"/>
  <bookViews>
    <workbookView xWindow="-110" yWindow="-110" windowWidth="19420" windowHeight="10420" tabRatio="612" xr2:uid="{00000000-000D-0000-FFFF-FFFF00000000}"/>
  </bookViews>
  <sheets>
    <sheet name="Tracker" sheetId="1" r:id="rId1"/>
    <sheet name="Completed" sheetId="2" r:id="rId2"/>
    <sheet name="Rules" sheetId="3" r:id="rId3"/>
  </sheets>
  <definedNames>
    <definedName name="_xlnm._FilterDatabase" localSheetId="1" hidden="1">Completed!$A$1:$I$1</definedName>
    <definedName name="_xlnm._FilterDatabase" localSheetId="0" hidden="1">Tracker!$A$1:$P$1726</definedName>
    <definedName name="Flag">Rules!$B$2:$B$21</definedName>
    <definedName name="Flag1">Rules!$B$2:$B$7</definedName>
    <definedName name="FlagState">Rules!$B$2:$B$6</definedName>
    <definedName name="FlagStates">Rules!$B$2:$B$5</definedName>
    <definedName name="TypeList">Rules!$C$1:$C$3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4" i="1" l="1"/>
  <c r="G54" i="1"/>
</calcChain>
</file>

<file path=xl/sharedStrings.xml><?xml version="1.0" encoding="utf-8"?>
<sst xmlns="http://schemas.openxmlformats.org/spreadsheetml/2006/main" count="301" uniqueCount="118">
  <si>
    <t>DUE DATE</t>
  </si>
  <si>
    <t>Sector Count</t>
  </si>
  <si>
    <t>PSAPs</t>
  </si>
  <si>
    <t>Formatting</t>
  </si>
  <si>
    <t>Assumable?</t>
  </si>
  <si>
    <t>Map?</t>
  </si>
  <si>
    <t>Project ID</t>
  </si>
  <si>
    <t>Instance ID</t>
  </si>
  <si>
    <t>State</t>
  </si>
  <si>
    <t>County</t>
  </si>
  <si>
    <t>Carrier</t>
  </si>
  <si>
    <t>Routing Type</t>
  </si>
  <si>
    <t>Status</t>
  </si>
  <si>
    <t>Notes</t>
  </si>
  <si>
    <t>Completed Date</t>
  </si>
  <si>
    <t>Type</t>
  </si>
  <si>
    <t>Standard</t>
  </si>
  <si>
    <t>n</t>
  </si>
  <si>
    <t>ATTMO</t>
  </si>
  <si>
    <t>SPRINT</t>
  </si>
  <si>
    <t>DISH</t>
  </si>
  <si>
    <t>TIER 2/3</t>
  </si>
  <si>
    <t>UCSS</t>
  </si>
  <si>
    <t>Tech</t>
  </si>
  <si>
    <t>LTE</t>
  </si>
  <si>
    <t>CA</t>
  </si>
  <si>
    <t>NV</t>
  </si>
  <si>
    <t>CT</t>
  </si>
  <si>
    <t>MN</t>
  </si>
  <si>
    <t>AZ</t>
  </si>
  <si>
    <t>Rework</t>
  </si>
  <si>
    <t>Hotcut</t>
  </si>
  <si>
    <t>WDS</t>
  </si>
  <si>
    <t>NJ</t>
  </si>
  <si>
    <t>ESSEX</t>
  </si>
  <si>
    <t>TX</t>
  </si>
  <si>
    <t>COMAL</t>
  </si>
  <si>
    <t>standard</t>
  </si>
  <si>
    <t>shared</t>
  </si>
  <si>
    <t>shared, but when through call routing</t>
  </si>
  <si>
    <t>HARRIS</t>
  </si>
  <si>
    <t>11(total)</t>
  </si>
  <si>
    <t>AL</t>
  </si>
  <si>
    <t>TUSCALOOSA</t>
  </si>
  <si>
    <t>IL</t>
  </si>
  <si>
    <t>KANE</t>
  </si>
  <si>
    <t>Y</t>
  </si>
  <si>
    <t>N</t>
  </si>
  <si>
    <t>VA</t>
  </si>
  <si>
    <t>CHESTERFIELD</t>
  </si>
  <si>
    <t>REQUIRED</t>
  </si>
  <si>
    <t>TN</t>
  </si>
  <si>
    <t>LAWRENCE</t>
  </si>
  <si>
    <t>completed</t>
  </si>
  <si>
    <t>STANDARD</t>
  </si>
  <si>
    <t>sid : 709369</t>
  </si>
  <si>
    <t>ACTION DATE</t>
  </si>
  <si>
    <t>SHARED</t>
  </si>
  <si>
    <t>CDMA</t>
  </si>
  <si>
    <t>UMTS</t>
  </si>
  <si>
    <t>AK</t>
  </si>
  <si>
    <t>AR</t>
  </si>
  <si>
    <t>CO</t>
  </si>
  <si>
    <t>DE</t>
  </si>
  <si>
    <t>DC</t>
  </si>
  <si>
    <t>FL</t>
  </si>
  <si>
    <t>GA</t>
  </si>
  <si>
    <t>HI</t>
  </si>
  <si>
    <t>ID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</si>
  <si>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</si>
  <si>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</si>
  <si>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</si>
  <si>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</si>
  <si>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</si>
  <si>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</si>
  <si>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</si>
  <si>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</si>
  <si>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</si>
  <si>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MS</t>
  </si>
  <si>
    <t>MO</t>
  </si>
  <si>
    <t>MT</t>
  </si>
  <si>
    <t>NH</t>
  </si>
  <si>
    <t>NM</t>
  </si>
  <si>
    <t>NY</t>
  </si>
  <si>
    <t>NC</t>
  </si>
  <si>
    <t>ND</t>
  </si>
  <si>
    <t>OH</t>
  </si>
  <si>
    <t>OK</t>
  </si>
  <si>
    <t>OR</t>
  </si>
  <si>
    <t>PA</t>
  </si>
  <si>
    <t>PR</t>
  </si>
  <si>
    <t>RI</t>
  </si>
  <si>
    <t>SC</t>
  </si>
  <si>
    <t>SD</t>
  </si>
  <si>
    <t>UT</t>
  </si>
  <si>
    <t>VT</t>
  </si>
  <si>
    <t>WA</t>
  </si>
  <si>
    <t>WV</t>
  </si>
  <si>
    <t>WI</t>
  </si>
  <si>
    <t>WY</t>
  </si>
  <si>
    <t>NE</t>
  </si>
  <si>
    <t>PROV</t>
  </si>
  <si>
    <t>MAP</t>
  </si>
  <si>
    <t>COOK</t>
  </si>
  <si>
    <t>CHATHAM</t>
  </si>
  <si>
    <t>Sent to prov</t>
  </si>
  <si>
    <t>RAPIDES</t>
  </si>
  <si>
    <t>BARRY</t>
  </si>
  <si>
    <t>PHILADELPHIA</t>
  </si>
  <si>
    <t>HAMILTON</t>
  </si>
  <si>
    <t>PASSAIC</t>
  </si>
  <si>
    <t>WOOD</t>
  </si>
  <si>
    <t>MULTI</t>
  </si>
  <si>
    <t>Waiting on call routing</t>
  </si>
  <si>
    <t>ST.LOUIS</t>
  </si>
  <si>
    <t>Waiting on call routing, potential hotcut</t>
  </si>
  <si>
    <t>Confirm routing received</t>
  </si>
  <si>
    <t>Got map, Waiting on call rtg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</si>
</sst>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0202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1" xfId="0" applyFont="1" applyBorder="1"/>
    <xf numFmtId="0" fontId="2" fillId="0" borderId="1" xfId="0" applyFont="1" applyBorder="1" applyAlignment="1">
      <alignment horizontal="right"/>
    </xf>
    <xf numFmtId="0" fontId="2" fillId="0" borderId="1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14" fontId="2" fillId="0" borderId="1" xfId="0" applyNumberFormat="1" applyFont="1" applyBorder="1"/>
    <xf numFmtId="0" fontId="5" fillId="0" borderId="1" xfId="1" applyBorder="1"/>
    <xf numFmtId="16" fontId="2" fillId="0" borderId="1" xfId="0" applyNumberFormat="1" applyFont="1" applyBorder="1"/>
    <xf numFmtId="16" fontId="2" fillId="0" borderId="1" xfId="0" applyNumberFormat="1" applyFont="1" applyFill="1" applyBorder="1"/>
    <xf numFmtId="0" fontId="5" fillId="0" borderId="1" xfId="1" applyFill="1" applyBorder="1"/>
    <xf numFmtId="0" fontId="5" fillId="0" borderId="0" xfId="1"/>
    <xf numFmtId="0" fontId="0" fillId="0" borderId="0" xfId="0" applyFill="1" applyBorder="1"/>
    <xf numFmtId="164" fontId="0" fillId="0" borderId="0" xfId="0" applyNumberFormat="1"/>
    <xf numFmtId="164" fontId="2" fillId="0" borderId="1" xfId="0" applyNumberFormat="1" applyFont="1" applyBorder="1"/>
    <xf numFmtId="0" fontId="0" fillId="4" borderId="0" xfId="0" applyFill="1"/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2" fillId="5" borderId="1" xfId="0" applyFont="1" applyFill="1" applyBorder="1"/>
    <xf numFmtId="0" fontId="0" fillId="5" borderId="0" xfId="0" applyFill="1"/>
    <xf numFmtId="16" fontId="0" fillId="0" borderId="0" xfId="0" applyNumberFormat="1"/>
    <xf numFmtId="0" fontId="0" fillId="0" borderId="0" xfId="0" applyFill="1" applyBorder="1" applyAlignment="1">
      <alignment horizontal="right"/>
    </xf>
    <xf numFmtId="0" fontId="0" fillId="0" borderId="0" xfId="0" applyFont="1"/>
    <xf numFmtId="0" fontId="6" fillId="6" borderId="2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148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 patternType="lightGray">
          <fgColor rgb="FFFFFF00"/>
        </patternFill>
      </fill>
    </dxf>
    <dxf>
      <fill>
        <patternFill patternType="lightGray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 patternType="lightGray">
          <fgColor rgb="FFFFFF00"/>
        </patternFill>
      </fill>
    </dxf>
    <dxf>
      <fill>
        <patternFill patternType="lightGray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 patternType="lightGray">
          <fgColor rgb="FFFFFF00"/>
        </patternFill>
      </fill>
    </dxf>
    <dxf>
      <fill>
        <patternFill patternType="lightGray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 patternType="lightGray">
          <fgColor rgb="FFFFFF00"/>
        </patternFill>
      </fill>
    </dxf>
    <dxf>
      <fill>
        <patternFill patternType="lightGray">
          <f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2B01"/>
        </patternFill>
      </fill>
    </dxf>
    <dxf>
      <fill>
        <patternFill patternType="mediumGray">
          <fgColor theme="7"/>
          <bgColor auto="1"/>
        </patternFill>
      </fill>
    </dxf>
    <dxf>
      <fill>
        <patternFill patternType="mediumGray">
          <fgColor rgb="FF00B050"/>
          <bgColor auto="1"/>
        </patternFill>
      </fill>
    </dxf>
    <dxf>
      <fill>
        <patternFill patternType="mediumGray">
          <f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>
          <bgColor rgb="FFAB8DB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rgb="FFAB8DB9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colors>
    <mruColors>
      <color rgb="FFFF8585"/>
      <color rgb="FFFF2B01"/>
      <color rgb="FFFF6600"/>
      <color rgb="FF92D050"/>
      <color rgb="FFFFCCCC"/>
      <color rgb="FF0099FF"/>
      <color rgb="FF9999FF"/>
      <color rgb="FFFF6699"/>
      <color rgb="FFFF99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..\IL\COOK\Projects\M708637" TargetMode="External"/><Relationship Id="rId7" Type="http://schemas.openxmlformats.org/officeDocument/2006/relationships/hyperlink" Target="../MO/ST.%20LOUIS/PROJECTS/M709479" TargetMode="External"/><Relationship Id="rId2" Type="http://schemas.openxmlformats.org/officeDocument/2006/relationships/hyperlink" Target="..\TX\HARRIS\Projects\M709137" TargetMode="External"/><Relationship Id="rId1" Type="http://schemas.openxmlformats.org/officeDocument/2006/relationships/hyperlink" Target="..\NJ\ESSEX\Projects\M708651" TargetMode="External"/><Relationship Id="rId6" Type="http://schemas.openxmlformats.org/officeDocument/2006/relationships/hyperlink" Target="..\Multiple%20States\PROJECTS\M709458" TargetMode="External"/><Relationship Id="rId5" Type="http://schemas.openxmlformats.org/officeDocument/2006/relationships/hyperlink" Target="..\LA\RAPIDES\PROJECTS\M709449" TargetMode="External"/><Relationship Id="rId4" Type="http://schemas.openxmlformats.org/officeDocument/2006/relationships/hyperlink" Target="../NC/CHATHAM/PROJECTS/M70941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IL/KANE/Projects/M709146" TargetMode="External"/><Relationship Id="rId2" Type="http://schemas.openxmlformats.org/officeDocument/2006/relationships/hyperlink" Target="../TN/LAWRENCE/PROJECTS/M709259" TargetMode="External"/><Relationship Id="rId1" Type="http://schemas.openxmlformats.org/officeDocument/2006/relationships/hyperlink" Target="..\TX\COMAL\Projects\M709136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R105"/>
  <sheetViews>
    <sheetView tabSelected="1" zoomScale="110" zoomScaleNormal="110" workbookViewId="0">
      <pane ySplit="1" topLeftCell="A6" activePane="bottomLeft" state="frozen"/>
      <selection sqref="A1:I1"/>
      <selection pane="bottomLeft" activeCell="A14" sqref="A14:XFD14"/>
    </sheetView>
  </sheetViews>
  <sheetFormatPr defaultColWidth="23.08984375" defaultRowHeight="13" x14ac:dyDescent="0.3"/>
  <cols>
    <col min="1" max="1" width="13.1796875" style="1" bestFit="1" customWidth="1"/>
    <col min="2" max="2" width="14.36328125" style="1" bestFit="1" customWidth="1"/>
    <col min="3" max="3" width="14.36328125" style="1" customWidth="1"/>
    <col min="4" max="4" width="6.54296875" style="1" customWidth="1"/>
    <col min="5" max="5" width="11" style="1" bestFit="1" customWidth="1"/>
    <col min="6" max="6" width="10.81640625" style="1" bestFit="1" customWidth="1"/>
    <col min="7" max="7" width="12.90625" style="18" bestFit="1" customWidth="1"/>
    <col min="8" max="8" width="15.81640625" style="1" bestFit="1" customWidth="1"/>
    <col min="9" max="9" width="15.54296875" style="1" bestFit="1" customWidth="1"/>
    <col min="10" max="10" width="10.1796875" style="2" bestFit="1" customWidth="1"/>
    <col min="11" max="11" width="9.6328125" style="1" bestFit="1" customWidth="1"/>
    <col min="12" max="12" width="10.453125" style="1" bestFit="1" customWidth="1"/>
    <col min="13" max="13" width="7" style="1" bestFit="1" customWidth="1"/>
    <col min="14" max="14" width="12.90625" style="18" bestFit="1" customWidth="1"/>
    <col min="15" max="15" width="21.54296875" style="1" customWidth="1"/>
    <col min="16" max="16" width="80.08984375" style="1" customWidth="1"/>
    <col min="17" max="17" width="3.90625" style="1" hidden="1" customWidth="1"/>
    <col min="18" max="18" width="0" style="5" hidden="1" customWidth="1"/>
    <col min="19" max="199" width="0" style="1" hidden="1" customWidth="1"/>
    <col min="200" max="200" width="8.984375E-2" style="1" customWidth="1"/>
    <col min="201" max="202" width="0" style="1" hidden="1" customWidth="1"/>
    <col min="203" max="16384" width="23.08984375" style="1"/>
  </cols>
  <sheetData>
    <row r="1" spans="1:18" s="22" customFormat="1" ht="28.25" customHeight="1" x14ac:dyDescent="0.35">
      <c r="A1" s="20" t="s">
        <v>6</v>
      </c>
      <c r="B1" s="20" t="s">
        <v>7</v>
      </c>
      <c r="C1" s="20" t="s">
        <v>10</v>
      </c>
      <c r="D1" s="20" t="s">
        <v>8</v>
      </c>
      <c r="E1" s="20" t="s">
        <v>9</v>
      </c>
      <c r="F1" s="20" t="s">
        <v>23</v>
      </c>
      <c r="G1" s="21" t="s">
        <v>0</v>
      </c>
      <c r="H1" s="20" t="s">
        <v>11</v>
      </c>
      <c r="I1" s="20" t="s">
        <v>1</v>
      </c>
      <c r="J1" s="20" t="s">
        <v>2</v>
      </c>
      <c r="K1" s="20" t="s">
        <v>3</v>
      </c>
      <c r="L1" s="20" t="s">
        <v>4</v>
      </c>
      <c r="M1" s="20" t="s">
        <v>5</v>
      </c>
      <c r="N1" s="21" t="s">
        <v>56</v>
      </c>
      <c r="O1" s="20" t="s">
        <v>12</v>
      </c>
      <c r="P1" s="20" t="s">
        <v>13</v>
      </c>
      <c r="R1" s="23"/>
    </row>
    <row r="2" spans="1:18" ht="14.5" x14ac:dyDescent="0.35">
      <c r="A2" s="15">
        <v>708651</v>
      </c>
      <c r="B2">
        <v>24044</v>
      </c>
      <c r="C2" s="16" t="s">
        <v>18</v>
      </c>
      <c r="D2" t="s">
        <v>33</v>
      </c>
      <c r="E2" t="s">
        <v>34</v>
      </c>
      <c r="F2" t="s">
        <v>24</v>
      </c>
      <c r="G2" s="17">
        <v>44442</v>
      </c>
      <c r="H2" t="s">
        <v>50</v>
      </c>
      <c r="I2">
        <v>4</v>
      </c>
      <c r="J2">
        <v>1</v>
      </c>
      <c r="K2" t="s">
        <v>33</v>
      </c>
      <c r="L2" t="s">
        <v>47</v>
      </c>
      <c r="M2" t="s">
        <v>47</v>
      </c>
      <c r="N2" s="17">
        <v>44436</v>
      </c>
      <c r="O2" s="16" t="s">
        <v>105</v>
      </c>
      <c r="P2"/>
      <c r="R2"/>
    </row>
    <row r="3" spans="1:18" ht="14.5" x14ac:dyDescent="0.35">
      <c r="A3" s="15">
        <v>709137</v>
      </c>
      <c r="B3" s="16">
        <v>24639</v>
      </c>
      <c r="C3" s="16" t="s">
        <v>18</v>
      </c>
      <c r="D3" s="16" t="s">
        <v>35</v>
      </c>
      <c r="E3" s="16" t="s">
        <v>40</v>
      </c>
      <c r="F3" s="16" t="s">
        <v>24</v>
      </c>
      <c r="G3" s="17">
        <v>44446</v>
      </c>
      <c r="H3" s="16" t="s">
        <v>50</v>
      </c>
      <c r="I3" s="25" t="s">
        <v>41</v>
      </c>
      <c r="J3" s="16">
        <v>2</v>
      </c>
      <c r="K3" s="16" t="s">
        <v>54</v>
      </c>
      <c r="L3" s="16" t="s">
        <v>46</v>
      </c>
      <c r="M3" s="16">
        <v>274777</v>
      </c>
      <c r="N3" s="17">
        <v>44436</v>
      </c>
      <c r="O3" s="16" t="s">
        <v>105</v>
      </c>
      <c r="P3" t="s">
        <v>55</v>
      </c>
      <c r="R3"/>
    </row>
    <row r="4" spans="1:18" ht="14.5" x14ac:dyDescent="0.35">
      <c r="A4" s="15">
        <v>708637</v>
      </c>
      <c r="B4" s="16">
        <v>24048</v>
      </c>
      <c r="C4" s="16" t="s">
        <v>18</v>
      </c>
      <c r="D4" s="16" t="s">
        <v>44</v>
      </c>
      <c r="E4" s="16" t="s">
        <v>103</v>
      </c>
      <c r="F4" s="16" t="s">
        <v>24</v>
      </c>
      <c r="G4" s="17">
        <v>44442</v>
      </c>
      <c r="H4" s="16" t="s">
        <v>50</v>
      </c>
      <c r="I4" s="16">
        <v>13</v>
      </c>
      <c r="J4" s="16">
        <v>1</v>
      </c>
      <c r="K4" s="16" t="s">
        <v>54</v>
      </c>
      <c r="L4" s="16" t="s">
        <v>46</v>
      </c>
      <c r="M4" s="16" t="s">
        <v>47</v>
      </c>
      <c r="N4" s="17">
        <v>44437</v>
      </c>
      <c r="O4" s="16" t="s">
        <v>105</v>
      </c>
      <c r="P4"/>
    </row>
    <row r="5" spans="1:18" ht="14.5" x14ac:dyDescent="0.35">
      <c r="A5" s="15">
        <v>709410</v>
      </c>
      <c r="B5" s="16"/>
      <c r="C5" s="16" t="s">
        <v>18</v>
      </c>
      <c r="D5" s="16" t="s">
        <v>84</v>
      </c>
      <c r="E5" s="16" t="s">
        <v>104</v>
      </c>
      <c r="F5" s="16" t="s">
        <v>24</v>
      </c>
      <c r="G5" s="17">
        <v>44448</v>
      </c>
      <c r="H5" s="16" t="s">
        <v>50</v>
      </c>
      <c r="I5" s="16">
        <v>6</v>
      </c>
      <c r="J5" s="16">
        <v>1</v>
      </c>
      <c r="K5" s="16" t="s">
        <v>54</v>
      </c>
      <c r="L5" s="16" t="s">
        <v>46</v>
      </c>
      <c r="M5" s="16" t="s">
        <v>47</v>
      </c>
      <c r="N5" s="17">
        <v>44438</v>
      </c>
      <c r="O5" s="16" t="s">
        <v>105</v>
      </c>
      <c r="P5"/>
    </row>
    <row r="6" spans="1:18" ht="14.5" x14ac:dyDescent="0.35">
      <c r="A6" s="15">
        <v>709449</v>
      </c>
      <c r="B6" s="16">
        <v>24741</v>
      </c>
      <c r="C6" s="16" t="s">
        <v>18</v>
      </c>
      <c r="D6" s="16" t="s">
        <v>73</v>
      </c>
      <c r="E6" s="16" t="s">
        <v>106</v>
      </c>
      <c r="F6" s="17" t="s">
        <v>24</v>
      </c>
      <c r="G6" s="24">
        <v>44449</v>
      </c>
      <c r="H6" s="16" t="s">
        <v>50</v>
      </c>
      <c r="I6" s="16">
        <v>8</v>
      </c>
      <c r="J6" s="16">
        <v>1</v>
      </c>
      <c r="K6" s="16" t="s">
        <v>54</v>
      </c>
      <c r="L6" s="16" t="s">
        <v>46</v>
      </c>
      <c r="M6" s="17" t="s">
        <v>47</v>
      </c>
      <c r="N6" s="17">
        <v>44437</v>
      </c>
      <c r="O6" s="16" t="s">
        <v>105</v>
      </c>
      <c r="Q6" s="5"/>
      <c r="R6" s="1"/>
    </row>
    <row r="7" spans="1:18" ht="14.5" x14ac:dyDescent="0.35">
      <c r="A7" s="15">
        <v>709458</v>
      </c>
      <c r="B7" s="16">
        <v>24747</v>
      </c>
      <c r="C7" s="16" t="s">
        <v>18</v>
      </c>
      <c r="D7" s="16" t="s">
        <v>112</v>
      </c>
      <c r="E7" s="16" t="s">
        <v>112</v>
      </c>
      <c r="F7" s="17" t="s">
        <v>24</v>
      </c>
      <c r="G7" s="24">
        <v>44449</v>
      </c>
      <c r="H7" s="16" t="s">
        <v>50</v>
      </c>
      <c r="I7" s="16">
        <v>50</v>
      </c>
      <c r="J7" s="16">
        <v>5</v>
      </c>
      <c r="K7"/>
      <c r="L7"/>
      <c r="M7" s="17"/>
      <c r="N7"/>
      <c r="O7"/>
      <c r="Q7" s="5"/>
      <c r="R7" s="1"/>
    </row>
    <row r="8" spans="1:18" ht="14.5" x14ac:dyDescent="0.35">
      <c r="A8"/>
      <c r="B8" s="16">
        <v>709797</v>
      </c>
      <c r="C8" s="16"/>
      <c r="D8" s="16" t="s">
        <v>77</v>
      </c>
      <c r="E8" s="16" t="s">
        <v>107</v>
      </c>
      <c r="F8" s="17"/>
      <c r="G8"/>
      <c r="H8"/>
      <c r="I8"/>
      <c r="J8" s="16">
        <v>1</v>
      </c>
      <c r="K8" s="16" t="s">
        <v>54</v>
      </c>
      <c r="L8" t="s">
        <v>46</v>
      </c>
      <c r="M8" s="17" t="s">
        <v>46</v>
      </c>
      <c r="N8"/>
      <c r="O8" s="16" t="s">
        <v>117</v>
      </c>
      <c r="P8" s="29">
        <v>274795</v>
      </c>
      <c r="Q8" s="5"/>
      <c r="R8" s="1"/>
    </row>
    <row r="9" spans="1:18" ht="14.5" x14ac:dyDescent="0.35">
      <c r="A9"/>
      <c r="B9" s="16">
        <v>709798</v>
      </c>
      <c r="C9" s="16"/>
      <c r="D9" t="s">
        <v>89</v>
      </c>
      <c r="E9" s="16" t="s">
        <v>108</v>
      </c>
      <c r="F9" s="17"/>
      <c r="G9"/>
      <c r="H9"/>
      <c r="I9"/>
      <c r="J9">
        <v>1</v>
      </c>
      <c r="K9" s="16" t="s">
        <v>54</v>
      </c>
      <c r="L9" t="s">
        <v>46</v>
      </c>
      <c r="M9" s="17" t="s">
        <v>47</v>
      </c>
      <c r="N9"/>
      <c r="O9" s="16" t="s">
        <v>113</v>
      </c>
      <c r="P9" s="1">
        <v>1</v>
      </c>
      <c r="Q9" s="5"/>
      <c r="R9" s="1"/>
    </row>
    <row r="10" spans="1:18" ht="14.5" x14ac:dyDescent="0.35">
      <c r="A10"/>
      <c r="B10" s="16">
        <v>709799</v>
      </c>
      <c r="C10" s="16"/>
      <c r="D10" t="s">
        <v>69</v>
      </c>
      <c r="E10" s="16" t="s">
        <v>109</v>
      </c>
      <c r="F10" s="17"/>
      <c r="G10"/>
      <c r="H10"/>
      <c r="I10">
        <v>4</v>
      </c>
      <c r="J10">
        <v>1</v>
      </c>
      <c r="K10" t="s">
        <v>16</v>
      </c>
      <c r="L10" t="s">
        <v>46</v>
      </c>
      <c r="M10" s="17" t="s">
        <v>47</v>
      </c>
      <c r="N10"/>
      <c r="O10" s="16" t="s">
        <v>113</v>
      </c>
      <c r="Q10" s="5">
        <v>1</v>
      </c>
      <c r="R10" s="1">
        <v>1</v>
      </c>
    </row>
    <row r="11" spans="1:18" ht="14.5" x14ac:dyDescent="0.35">
      <c r="A11"/>
      <c r="B11" s="16">
        <v>709800</v>
      </c>
      <c r="C11" s="16"/>
      <c r="D11" t="s">
        <v>33</v>
      </c>
      <c r="E11" s="16" t="s">
        <v>110</v>
      </c>
      <c r="F11" s="17"/>
      <c r="G11"/>
      <c r="H11"/>
      <c r="I11"/>
      <c r="J11">
        <v>1</v>
      </c>
      <c r="K11" t="s">
        <v>33</v>
      </c>
      <c r="L11" t="s">
        <v>47</v>
      </c>
      <c r="M11" s="17" t="s">
        <v>47</v>
      </c>
      <c r="N11"/>
      <c r="O11" s="16" t="s">
        <v>113</v>
      </c>
      <c r="Q11" s="5"/>
      <c r="R11" s="1"/>
    </row>
    <row r="12" spans="1:18" ht="14.5" x14ac:dyDescent="0.35">
      <c r="A12"/>
      <c r="B12" s="16">
        <v>709801</v>
      </c>
      <c r="C12" s="16"/>
      <c r="D12" t="s">
        <v>97</v>
      </c>
      <c r="E12" s="16" t="s">
        <v>111</v>
      </c>
      <c r="F12" s="17"/>
      <c r="G12"/>
      <c r="H12"/>
      <c r="I12"/>
      <c r="J12">
        <v>1</v>
      </c>
      <c r="K12" t="s">
        <v>54</v>
      </c>
      <c r="L12" t="s">
        <v>46</v>
      </c>
      <c r="M12" s="17" t="s">
        <v>47</v>
      </c>
      <c r="N12"/>
      <c r="O12" s="16" t="s">
        <v>116</v>
      </c>
      <c r="Q12" s="5"/>
      <c r="R12" s="1"/>
    </row>
    <row r="13" spans="1:18" ht="14.5" x14ac:dyDescent="0.35">
      <c r="A13" s="15">
        <v>709479</v>
      </c>
      <c r="B13" s="16">
        <v>24872</v>
      </c>
      <c r="C13" t="s">
        <v>18</v>
      </c>
      <c r="D13" t="s">
        <v>79</v>
      </c>
      <c r="E13" s="16" t="s">
        <v>114</v>
      </c>
      <c r="F13" s="17" t="s">
        <v>24</v>
      </c>
      <c r="G13" s="24">
        <v>44449</v>
      </c>
      <c r="H13" s="16" t="s">
        <v>50</v>
      </c>
      <c r="I13">
        <v>4</v>
      </c>
      <c r="J13">
        <v>1</v>
      </c>
      <c r="K13" t="s">
        <v>54</v>
      </c>
      <c r="L13" t="s">
        <v>46</v>
      </c>
      <c r="M13" s="17" t="s">
        <v>47</v>
      </c>
      <c r="N13" s="24">
        <v>44440</v>
      </c>
      <c r="O13" s="16" t="s">
        <v>115</v>
      </c>
      <c r="Q13" s="5"/>
      <c r="R13" s="1"/>
    </row>
    <row r="14" spans="1:18" ht="14.5" x14ac:dyDescent="0.35">
      <c r="A14"/>
      <c r="B14"/>
      <c r="C14"/>
      <c r="D14"/>
      <c r="E14"/>
      <c r="F14"/>
      <c r="G14" s="17"/>
      <c r="H14"/>
      <c r="I14"/>
      <c r="J14"/>
      <c r="K14"/>
      <c r="L14"/>
      <c r="M14"/>
      <c r="N14" s="17"/>
      <c r="O14"/>
      <c r="P14"/>
    </row>
    <row r="15" spans="1:18" ht="14.5" x14ac:dyDescent="0.35">
      <c r="A15"/>
      <c r="B15"/>
      <c r="C15"/>
      <c r="D15"/>
      <c r="E15"/>
      <c r="F15"/>
      <c r="G15" s="17"/>
      <c r="H15"/>
      <c r="I15"/>
      <c r="J15"/>
      <c r="K15"/>
      <c r="L15"/>
      <c r="M15"/>
      <c r="N15" s="17"/>
      <c r="O15"/>
      <c r="P15"/>
    </row>
    <row r="16" spans="1:18" ht="14.5" x14ac:dyDescent="0.35">
      <c r="A16"/>
      <c r="B16"/>
      <c r="C16"/>
      <c r="D16"/>
      <c r="E16"/>
      <c r="F16"/>
      <c r="G16" s="17"/>
      <c r="H16"/>
      <c r="I16"/>
      <c r="J16"/>
      <c r="K16"/>
      <c r="L16"/>
      <c r="M16"/>
      <c r="N16" s="17"/>
      <c r="O16"/>
      <c r="P16"/>
    </row>
    <row r="17" spans="1:16" ht="14.5" x14ac:dyDescent="0.35">
      <c r="A17"/>
      <c r="B17"/>
      <c r="C17"/>
      <c r="D17"/>
      <c r="E17"/>
      <c r="F17"/>
      <c r="G17" s="17"/>
      <c r="H17"/>
      <c r="I17"/>
      <c r="J17"/>
      <c r="K17"/>
      <c r="L17"/>
      <c r="M17"/>
      <c r="N17" s="17"/>
      <c r="O17"/>
      <c r="P17"/>
    </row>
    <row r="18" spans="1:16" ht="14.5" x14ac:dyDescent="0.35">
      <c r="A18"/>
      <c r="B18"/>
      <c r="C18"/>
      <c r="D18"/>
      <c r="E18"/>
      <c r="F18"/>
      <c r="G18" s="17"/>
      <c r="H18"/>
      <c r="I18"/>
      <c r="J18"/>
      <c r="K18"/>
      <c r="L18"/>
      <c r="M18"/>
      <c r="N18" s="17"/>
      <c r="O18"/>
      <c r="P18"/>
    </row>
    <row r="19" spans="1:16" ht="14.5" x14ac:dyDescent="0.35">
      <c r="A19"/>
      <c r="B19"/>
      <c r="C19"/>
      <c r="D19"/>
      <c r="E19"/>
      <c r="F19"/>
      <c r="G19" s="17"/>
      <c r="H19"/>
      <c r="I19"/>
      <c r="J19"/>
      <c r="K19"/>
      <c r="L19"/>
      <c r="M19"/>
      <c r="N19" s="17"/>
      <c r="O19"/>
      <c r="P19"/>
    </row>
    <row r="20" spans="1:16" ht="14.5" x14ac:dyDescent="0.35">
      <c r="A20"/>
      <c r="B20"/>
      <c r="C20"/>
      <c r="D20"/>
      <c r="E20"/>
      <c r="F20"/>
      <c r="G20" s="17"/>
      <c r="H20"/>
      <c r="I20"/>
      <c r="J20"/>
      <c r="K20"/>
      <c r="L20"/>
      <c r="M20"/>
      <c r="N20" s="17"/>
      <c r="O20"/>
      <c r="P20"/>
    </row>
    <row r="21" spans="1:16" ht="14.5" x14ac:dyDescent="0.35">
      <c r="A21"/>
      <c r="B21"/>
      <c r="C21"/>
      <c r="D21"/>
      <c r="E21"/>
      <c r="F21"/>
      <c r="G21" s="17"/>
      <c r="H21"/>
      <c r="I21"/>
      <c r="J21"/>
      <c r="K21"/>
      <c r="L21"/>
      <c r="M21"/>
      <c r="N21" s="17"/>
      <c r="O21"/>
      <c r="P21"/>
    </row>
    <row r="22" spans="1:16" ht="14.5" x14ac:dyDescent="0.35">
      <c r="A22"/>
      <c r="B22"/>
      <c r="C22"/>
      <c r="D22"/>
      <c r="E22"/>
      <c r="F22"/>
      <c r="G22" s="17"/>
      <c r="H22"/>
      <c r="I22"/>
      <c r="J22"/>
      <c r="K22"/>
      <c r="L22"/>
      <c r="M22"/>
      <c r="N22" s="17"/>
      <c r="O22"/>
      <c r="P22"/>
    </row>
    <row r="23" spans="1:16" ht="14.5" x14ac:dyDescent="0.35">
      <c r="A23"/>
      <c r="B23"/>
      <c r="C23"/>
      <c r="D23"/>
      <c r="E23"/>
      <c r="F23"/>
      <c r="G23" s="17"/>
      <c r="H23"/>
      <c r="I23"/>
      <c r="J23"/>
      <c r="K23"/>
      <c r="L23"/>
      <c r="M23"/>
      <c r="N23" s="17"/>
      <c r="O23"/>
      <c r="P23"/>
    </row>
    <row r="24" spans="1:16" ht="14.5" x14ac:dyDescent="0.35">
      <c r="A24"/>
      <c r="B24"/>
      <c r="C24"/>
      <c r="D24"/>
      <c r="E24"/>
      <c r="F24"/>
      <c r="G24" s="17"/>
      <c r="H24"/>
      <c r="I24"/>
      <c r="J24"/>
      <c r="K24"/>
      <c r="L24"/>
      <c r="M24"/>
      <c r="N24" s="17"/>
      <c r="O24"/>
      <c r="P24"/>
    </row>
    <row r="25" spans="1:16" ht="14.5" x14ac:dyDescent="0.35">
      <c r="A25"/>
      <c r="B25"/>
      <c r="C25"/>
      <c r="D25"/>
      <c r="E25"/>
      <c r="F25"/>
      <c r="G25" s="17"/>
      <c r="H25"/>
      <c r="I25"/>
      <c r="J25"/>
      <c r="K25"/>
      <c r="L25"/>
      <c r="M25"/>
      <c r="N25" s="17"/>
      <c r="O25"/>
      <c r="P25"/>
    </row>
    <row r="26" spans="1:16" ht="14.5" x14ac:dyDescent="0.35">
      <c r="A26"/>
      <c r="B26"/>
      <c r="C26"/>
      <c r="D26"/>
      <c r="E26"/>
      <c r="F26"/>
      <c r="G26" s="17"/>
      <c r="H26"/>
      <c r="I26"/>
      <c r="J26"/>
      <c r="K26"/>
      <c r="L26"/>
      <c r="M26"/>
      <c r="N26" s="17"/>
      <c r="O26"/>
      <c r="P26"/>
    </row>
    <row r="27" spans="1:16" ht="14.5" x14ac:dyDescent="0.35">
      <c r="A27"/>
      <c r="B27"/>
      <c r="C27"/>
      <c r="D27"/>
      <c r="E27"/>
      <c r="F27"/>
      <c r="G27" s="17"/>
      <c r="H27"/>
      <c r="I27"/>
      <c r="J27"/>
      <c r="K27"/>
      <c r="L27"/>
      <c r="M27"/>
      <c r="N27" s="17"/>
      <c r="O27"/>
      <c r="P27"/>
    </row>
    <row r="28" spans="1:16" ht="14.5" x14ac:dyDescent="0.35">
      <c r="A28"/>
      <c r="B28"/>
      <c r="C28"/>
      <c r="D28"/>
      <c r="E28"/>
      <c r="F28"/>
      <c r="G28" s="17"/>
      <c r="H28"/>
      <c r="I28"/>
      <c r="J28"/>
      <c r="K28"/>
      <c r="L28"/>
      <c r="M28"/>
      <c r="N28" s="17"/>
      <c r="O28"/>
      <c r="P28"/>
    </row>
    <row r="29" spans="1:16" ht="14.5" x14ac:dyDescent="0.35">
      <c r="A29"/>
      <c r="B29"/>
      <c r="C29"/>
      <c r="D29"/>
      <c r="E29"/>
      <c r="F29"/>
      <c r="G29" s="17"/>
      <c r="H29"/>
      <c r="I29"/>
      <c r="J29"/>
      <c r="K29"/>
      <c r="L29"/>
      <c r="M29"/>
      <c r="N29" s="17"/>
      <c r="O29"/>
      <c r="P29"/>
    </row>
    <row r="30" spans="1:16" ht="14.5" x14ac:dyDescent="0.35">
      <c r="A30"/>
      <c r="B30"/>
      <c r="C30"/>
      <c r="D30"/>
      <c r="E30"/>
      <c r="F30"/>
      <c r="G30" s="17"/>
      <c r="H30"/>
      <c r="I30"/>
      <c r="J30"/>
      <c r="K30"/>
      <c r="L30"/>
      <c r="M30"/>
      <c r="N30" s="17"/>
      <c r="O30"/>
      <c r="P30"/>
    </row>
    <row r="31" spans="1:16" ht="14.5" x14ac:dyDescent="0.35">
      <c r="A31"/>
      <c r="B31"/>
      <c r="C31"/>
      <c r="D31"/>
      <c r="E31"/>
      <c r="F31"/>
      <c r="G31" s="17"/>
      <c r="H31"/>
      <c r="I31"/>
      <c r="J31"/>
      <c r="K31"/>
      <c r="L31"/>
      <c r="M31"/>
      <c r="N31" s="17"/>
      <c r="O31"/>
      <c r="P31"/>
    </row>
    <row r="32" spans="1:16" ht="14.5" x14ac:dyDescent="0.35">
      <c r="A32"/>
      <c r="B32"/>
      <c r="C32"/>
      <c r="D32"/>
      <c r="E32"/>
      <c r="F32"/>
      <c r="G32" s="17"/>
      <c r="H32"/>
      <c r="I32"/>
      <c r="J32"/>
      <c r="K32"/>
      <c r="L32"/>
      <c r="M32"/>
      <c r="N32" s="17"/>
      <c r="O32"/>
      <c r="P32"/>
    </row>
    <row r="33" spans="1:16" ht="14.5" x14ac:dyDescent="0.35">
      <c r="A33"/>
      <c r="B33"/>
      <c r="C33"/>
      <c r="D33"/>
      <c r="E33"/>
      <c r="F33"/>
      <c r="G33" s="17"/>
      <c r="H33"/>
      <c r="I33"/>
      <c r="J33"/>
      <c r="K33"/>
      <c r="L33"/>
      <c r="M33"/>
      <c r="N33" s="17"/>
      <c r="O33"/>
      <c r="P33"/>
    </row>
    <row r="34" spans="1:16" ht="14.5" x14ac:dyDescent="0.35">
      <c r="A34"/>
      <c r="B34"/>
      <c r="C34"/>
      <c r="D34"/>
      <c r="E34"/>
      <c r="F34"/>
      <c r="G34" s="17"/>
      <c r="H34"/>
      <c r="I34"/>
      <c r="J34"/>
      <c r="K34"/>
      <c r="L34"/>
      <c r="M34"/>
      <c r="N34" s="17"/>
      <c r="O34"/>
      <c r="P34"/>
    </row>
    <row r="35" spans="1:16" ht="14.5" x14ac:dyDescent="0.35">
      <c r="A35"/>
      <c r="B35"/>
      <c r="C35"/>
      <c r="D35"/>
      <c r="E35"/>
      <c r="F35"/>
      <c r="G35" s="17"/>
      <c r="H35"/>
      <c r="I35"/>
      <c r="J35"/>
      <c r="K35"/>
      <c r="L35"/>
      <c r="M35"/>
      <c r="N35" s="17"/>
      <c r="O35"/>
      <c r="P35"/>
    </row>
    <row r="36" spans="1:16" ht="14.5" x14ac:dyDescent="0.35">
      <c r="A36"/>
      <c r="B36"/>
      <c r="C36"/>
      <c r="D36"/>
      <c r="E36"/>
      <c r="F36"/>
      <c r="G36" s="17"/>
      <c r="H36"/>
      <c r="I36"/>
      <c r="J36"/>
      <c r="K36"/>
      <c r="L36"/>
      <c r="M36"/>
      <c r="N36" s="17"/>
      <c r="O36"/>
      <c r="P36"/>
    </row>
    <row r="37" spans="1:16" ht="14.5" x14ac:dyDescent="0.35">
      <c r="A37"/>
      <c r="B37"/>
      <c r="C37"/>
      <c r="D37"/>
      <c r="E37"/>
      <c r="F37"/>
      <c r="G37" s="17"/>
      <c r="H37"/>
      <c r="I37"/>
      <c r="J37"/>
      <c r="K37"/>
      <c r="L37"/>
      <c r="M37"/>
      <c r="N37" s="17"/>
      <c r="O37"/>
      <c r="P37"/>
    </row>
    <row r="38" spans="1:16" ht="14.5" x14ac:dyDescent="0.35">
      <c r="A38"/>
      <c r="B38"/>
      <c r="C38"/>
      <c r="D38"/>
      <c r="E38"/>
      <c r="F38"/>
      <c r="G38" s="17"/>
      <c r="H38"/>
      <c r="I38"/>
      <c r="J38"/>
      <c r="K38"/>
      <c r="L38"/>
      <c r="M38"/>
      <c r="N38" s="17"/>
      <c r="O38"/>
      <c r="P38"/>
    </row>
    <row r="39" spans="1:16" ht="14.5" x14ac:dyDescent="0.35">
      <c r="A39"/>
      <c r="B39"/>
      <c r="C39"/>
      <c r="D39"/>
      <c r="E39"/>
      <c r="F39"/>
      <c r="G39" s="17"/>
      <c r="H39"/>
      <c r="I39"/>
      <c r="J39"/>
      <c r="K39"/>
      <c r="L39"/>
      <c r="M39"/>
      <c r="N39" s="17"/>
      <c r="O39"/>
      <c r="P39"/>
    </row>
    <row r="40" spans="1:16" ht="14.5" x14ac:dyDescent="0.35">
      <c r="A40"/>
      <c r="B40"/>
      <c r="C40"/>
      <c r="D40"/>
      <c r="E40"/>
      <c r="F40"/>
      <c r="G40" s="17"/>
      <c r="H40"/>
      <c r="I40"/>
      <c r="J40"/>
      <c r="K40"/>
      <c r="L40"/>
      <c r="M40"/>
      <c r="N40" s="17"/>
      <c r="O40"/>
      <c r="P40"/>
    </row>
    <row r="41" spans="1:16" ht="14.5" x14ac:dyDescent="0.35">
      <c r="A41"/>
      <c r="B41"/>
      <c r="C41"/>
      <c r="D41"/>
      <c r="E41"/>
      <c r="F41"/>
      <c r="G41" s="17"/>
      <c r="H41"/>
      <c r="I41"/>
      <c r="J41"/>
      <c r="K41"/>
      <c r="L41"/>
      <c r="M41"/>
      <c r="N41" s="17"/>
      <c r="O41"/>
      <c r="P41"/>
    </row>
    <row r="42" spans="1:16" ht="14.5" x14ac:dyDescent="0.35">
      <c r="A42"/>
      <c r="B42"/>
      <c r="C42"/>
      <c r="D42"/>
      <c r="E42"/>
      <c r="F42"/>
      <c r="G42" s="17"/>
      <c r="H42"/>
      <c r="I42"/>
      <c r="J42"/>
      <c r="K42"/>
      <c r="L42"/>
      <c r="M42"/>
      <c r="N42" s="17"/>
      <c r="O42"/>
      <c r="P42"/>
    </row>
    <row r="43" spans="1:16" ht="14.5" x14ac:dyDescent="0.35">
      <c r="A43"/>
      <c r="B43"/>
      <c r="C43"/>
      <c r="D43"/>
      <c r="E43"/>
      <c r="F43"/>
      <c r="G43" s="17"/>
      <c r="H43"/>
      <c r="I43"/>
      <c r="J43"/>
      <c r="K43"/>
      <c r="L43"/>
      <c r="M43"/>
      <c r="N43" s="17"/>
      <c r="O43"/>
      <c r="P43"/>
    </row>
    <row r="44" spans="1:16" ht="14.5" x14ac:dyDescent="0.35">
      <c r="A44"/>
      <c r="B44"/>
      <c r="C44"/>
      <c r="D44"/>
      <c r="E44"/>
      <c r="F44"/>
      <c r="G44" s="17"/>
      <c r="H44"/>
      <c r="I44"/>
      <c r="J44"/>
      <c r="K44"/>
      <c r="L44"/>
      <c r="M44"/>
      <c r="N44" s="17"/>
      <c r="O44"/>
      <c r="P44"/>
    </row>
    <row r="45" spans="1:16" ht="14.5" x14ac:dyDescent="0.35">
      <c r="A45"/>
      <c r="B45"/>
      <c r="C45"/>
      <c r="D45"/>
      <c r="E45"/>
      <c r="F45"/>
      <c r="G45" s="17"/>
      <c r="H45"/>
      <c r="I45"/>
      <c r="J45"/>
      <c r="K45"/>
      <c r="L45"/>
      <c r="M45"/>
      <c r="N45" s="17"/>
      <c r="O45"/>
      <c r="P45"/>
    </row>
    <row r="46" spans="1:16" ht="14.5" x14ac:dyDescent="0.35">
      <c r="A46"/>
      <c r="B46"/>
      <c r="C46"/>
      <c r="D46"/>
      <c r="E46"/>
      <c r="F46"/>
      <c r="G46" s="17"/>
      <c r="H46"/>
      <c r="I46"/>
      <c r="J46"/>
      <c r="K46"/>
      <c r="L46"/>
      <c r="M46"/>
      <c r="N46" s="17"/>
      <c r="O46"/>
      <c r="P46"/>
    </row>
    <row r="47" spans="1:16" ht="14.5" x14ac:dyDescent="0.35">
      <c r="A47"/>
      <c r="B47"/>
      <c r="C47"/>
      <c r="D47"/>
      <c r="E47"/>
      <c r="F47"/>
      <c r="G47" s="17"/>
      <c r="H47"/>
      <c r="I47"/>
      <c r="J47"/>
      <c r="K47"/>
      <c r="L47"/>
      <c r="M47"/>
      <c r="N47" s="17"/>
      <c r="O47"/>
      <c r="P47"/>
    </row>
    <row r="48" spans="1:16" ht="14.5" x14ac:dyDescent="0.35">
      <c r="A48"/>
      <c r="B48"/>
      <c r="C48"/>
      <c r="D48"/>
      <c r="E48"/>
      <c r="F48"/>
      <c r="G48" s="17"/>
      <c r="H48"/>
      <c r="I48"/>
      <c r="J48"/>
      <c r="K48"/>
      <c r="L48"/>
      <c r="M48"/>
      <c r="N48" s="17"/>
      <c r="O48"/>
      <c r="P48"/>
    </row>
    <row r="49" spans="1:16" ht="14.5" x14ac:dyDescent="0.35">
      <c r="A49"/>
      <c r="B49"/>
      <c r="C49"/>
      <c r="D49"/>
      <c r="E49"/>
      <c r="F49"/>
      <c r="G49" s="17"/>
      <c r="H49"/>
      <c r="I49"/>
      <c r="J49"/>
      <c r="K49"/>
      <c r="L49"/>
      <c r="M49"/>
      <c r="N49" s="17"/>
      <c r="O49"/>
      <c r="P49"/>
    </row>
    <row r="50" spans="1:16" ht="14.5" x14ac:dyDescent="0.35">
      <c r="A50"/>
      <c r="B50"/>
      <c r="C50"/>
      <c r="D50"/>
      <c r="E50"/>
      <c r="F50"/>
      <c r="G50" s="17"/>
      <c r="H50"/>
      <c r="I50"/>
      <c r="J50"/>
      <c r="K50"/>
      <c r="L50"/>
      <c r="M50"/>
      <c r="N50" s="17"/>
      <c r="O50"/>
      <c r="P50"/>
    </row>
    <row r="51" spans="1:16" ht="14.5" x14ac:dyDescent="0.35">
      <c r="A51"/>
      <c r="B51"/>
      <c r="C51"/>
      <c r="D51"/>
      <c r="E51"/>
      <c r="F51"/>
      <c r="G51" s="17"/>
      <c r="H51"/>
      <c r="I51"/>
      <c r="J51"/>
      <c r="K51"/>
      <c r="L51"/>
      <c r="M51"/>
      <c r="N51" s="17"/>
      <c r="O51"/>
      <c r="P51"/>
    </row>
    <row r="52" spans="1:16" ht="14.5" x14ac:dyDescent="0.35">
      <c r="A52"/>
      <c r="B52"/>
      <c r="C52"/>
      <c r="D52"/>
      <c r="E52"/>
      <c r="F52"/>
      <c r="G52" s="17"/>
      <c r="H52"/>
      <c r="I52"/>
      <c r="J52"/>
      <c r="K52"/>
      <c r="L52"/>
      <c r="M52"/>
      <c r="N52" s="17"/>
      <c r="O52"/>
      <c r="P52"/>
    </row>
    <row r="53" spans="1:16" ht="14.5" x14ac:dyDescent="0.35">
      <c r="A53"/>
      <c r="B53"/>
      <c r="C53"/>
      <c r="D53"/>
      <c r="E53"/>
      <c r="F53"/>
      <c r="G53" s="17"/>
      <c r="H53"/>
      <c r="I53"/>
      <c r="J53"/>
      <c r="K53"/>
      <c r="L53"/>
      <c r="M53"/>
      <c r="N53" s="17"/>
      <c r="O53"/>
      <c r="P53"/>
    </row>
    <row r="54" spans="1:16" ht="14.5" x14ac:dyDescent="0.35">
      <c r="A54"/>
      <c r="B54"/>
      <c r="C54" t="s">
        <v>18</v>
      </c>
      <c r="D54" s="27" t="s">
        <v>42</v>
      </c>
      <c r="E54"/>
      <c r="F54" t="s">
        <v>24</v>
      </c>
      <c r="G54" s="17">
        <f ca="1">TODAY()+10</f>
        <v>44448</v>
      </c>
      <c r="H54"/>
      <c r="I54"/>
      <c r="J54"/>
      <c r="K54" t="s">
        <v>54</v>
      </c>
      <c r="L54" t="s">
        <v>46</v>
      </c>
      <c r="M54" t="s">
        <v>46</v>
      </c>
      <c r="N54" s="17">
        <f ca="1">TODAY()+1</f>
        <v>44439</v>
      </c>
      <c r="O54" t="s">
        <v>101</v>
      </c>
      <c r="P54"/>
    </row>
    <row r="55" spans="1:16" ht="14.5" x14ac:dyDescent="0.35">
      <c r="C55" s="1" t="s">
        <v>19</v>
      </c>
      <c r="D55" s="27" t="s">
        <v>60</v>
      </c>
      <c r="F55" s="1" t="s">
        <v>58</v>
      </c>
      <c r="K55" s="19" t="s">
        <v>25</v>
      </c>
      <c r="L55" s="1" t="s">
        <v>47</v>
      </c>
      <c r="M55" s="1" t="s">
        <v>47</v>
      </c>
      <c r="O55" s="1" t="s">
        <v>102</v>
      </c>
    </row>
    <row r="56" spans="1:16" ht="14.5" x14ac:dyDescent="0.35">
      <c r="C56" s="1" t="s">
        <v>22</v>
      </c>
      <c r="D56" s="27" t="s">
        <v>29</v>
      </c>
      <c r="F56" s="1" t="s">
        <v>59</v>
      </c>
      <c r="K56" s="19" t="s">
        <v>26</v>
      </c>
    </row>
    <row r="57" spans="1:16" ht="14.5" x14ac:dyDescent="0.35">
      <c r="C57" s="1" t="s">
        <v>21</v>
      </c>
      <c r="D57" s="27" t="s">
        <v>61</v>
      </c>
      <c r="K57" s="19" t="s">
        <v>27</v>
      </c>
    </row>
    <row r="58" spans="1:16" ht="14.5" x14ac:dyDescent="0.35">
      <c r="C58" s="1" t="s">
        <v>20</v>
      </c>
      <c r="D58" s="27" t="s">
        <v>25</v>
      </c>
      <c r="K58" s="19" t="s">
        <v>28</v>
      </c>
    </row>
    <row r="59" spans="1:16" ht="14.5" x14ac:dyDescent="0.35">
      <c r="D59" s="27" t="s">
        <v>62</v>
      </c>
      <c r="K59" s="19" t="s">
        <v>29</v>
      </c>
    </row>
    <row r="60" spans="1:16" ht="14.5" x14ac:dyDescent="0.35">
      <c r="D60" s="27" t="s">
        <v>27</v>
      </c>
      <c r="K60" s="19" t="s">
        <v>33</v>
      </c>
    </row>
    <row r="61" spans="1:16" ht="14.5" x14ac:dyDescent="0.3">
      <c r="D61" s="27" t="s">
        <v>63</v>
      </c>
    </row>
    <row r="62" spans="1:16" ht="14.5" x14ac:dyDescent="0.3">
      <c r="D62" s="27" t="s">
        <v>64</v>
      </c>
    </row>
    <row r="63" spans="1:16" ht="14.5" x14ac:dyDescent="0.3">
      <c r="D63" s="27" t="s">
        <v>65</v>
      </c>
    </row>
    <row r="64" spans="1:16" ht="14.5" x14ac:dyDescent="0.3">
      <c r="D64" s="27" t="s">
        <v>66</v>
      </c>
    </row>
    <row r="65" spans="4:4" ht="14.5" x14ac:dyDescent="0.3">
      <c r="D65" s="27" t="s">
        <v>67</v>
      </c>
    </row>
    <row r="66" spans="4:4" ht="14.5" x14ac:dyDescent="0.3">
      <c r="D66" s="27" t="s">
        <v>68</v>
      </c>
    </row>
    <row r="67" spans="4:4" ht="14.5" x14ac:dyDescent="0.3">
      <c r="D67" s="27" t="s">
        <v>44</v>
      </c>
    </row>
    <row r="68" spans="4:4" ht="14.5" x14ac:dyDescent="0.3">
      <c r="D68" s="27" t="s">
        <v>69</v>
      </c>
    </row>
    <row r="69" spans="4:4" ht="14.5" x14ac:dyDescent="0.3">
      <c r="D69" s="27" t="s">
        <v>70</v>
      </c>
    </row>
    <row r="70" spans="4:4" ht="14.5" x14ac:dyDescent="0.3">
      <c r="D70" s="27" t="s">
        <v>71</v>
      </c>
    </row>
    <row r="71" spans="4:4" ht="14.5" x14ac:dyDescent="0.3">
      <c r="D71" s="27" t="s">
        <v>72</v>
      </c>
    </row>
    <row r="72" spans="4:4" ht="14.5" x14ac:dyDescent="0.3">
      <c r="D72" s="27" t="s">
        <v>73</v>
      </c>
    </row>
    <row r="73" spans="4:4" ht="14.5" x14ac:dyDescent="0.3">
      <c r="D73" s="27" t="s">
        <v>74</v>
      </c>
    </row>
    <row r="74" spans="4:4" ht="14.5" x14ac:dyDescent="0.3">
      <c r="D74" s="27" t="s">
        <v>75</v>
      </c>
    </row>
    <row r="75" spans="4:4" ht="14.5" x14ac:dyDescent="0.3">
      <c r="D75" s="27" t="s">
        <v>76</v>
      </c>
    </row>
    <row r="76" spans="4:4" ht="14.5" x14ac:dyDescent="0.3">
      <c r="D76" s="27" t="s">
        <v>77</v>
      </c>
    </row>
    <row r="77" spans="4:4" ht="14.5" x14ac:dyDescent="0.3">
      <c r="D77" s="27" t="s">
        <v>28</v>
      </c>
    </row>
    <row r="78" spans="4:4" ht="14.5" x14ac:dyDescent="0.3">
      <c r="D78" s="27" t="s">
        <v>78</v>
      </c>
    </row>
    <row r="79" spans="4:4" ht="14.5" x14ac:dyDescent="0.3">
      <c r="D79" s="27" t="s">
        <v>79</v>
      </c>
    </row>
    <row r="80" spans="4:4" ht="14.5" x14ac:dyDescent="0.3">
      <c r="D80" s="27" t="s">
        <v>80</v>
      </c>
    </row>
    <row r="81" spans="4:4" ht="14.5" x14ac:dyDescent="0.3">
      <c r="D81" s="28" t="s">
        <v>100</v>
      </c>
    </row>
    <row r="82" spans="4:4" ht="14.5" x14ac:dyDescent="0.3">
      <c r="D82" s="27" t="s">
        <v>26</v>
      </c>
    </row>
    <row r="83" spans="4:4" ht="14.5" x14ac:dyDescent="0.3">
      <c r="D83" s="27" t="s">
        <v>81</v>
      </c>
    </row>
    <row r="84" spans="4:4" ht="14.5" x14ac:dyDescent="0.3">
      <c r="D84" s="27" t="s">
        <v>33</v>
      </c>
    </row>
    <row r="85" spans="4:4" ht="14.5" x14ac:dyDescent="0.3">
      <c r="D85" s="27" t="s">
        <v>82</v>
      </c>
    </row>
    <row r="86" spans="4:4" ht="14.5" x14ac:dyDescent="0.3">
      <c r="D86" s="27" t="s">
        <v>83</v>
      </c>
    </row>
    <row r="87" spans="4:4" ht="14.5" x14ac:dyDescent="0.3">
      <c r="D87" s="27" t="s">
        <v>84</v>
      </c>
    </row>
    <row r="88" spans="4:4" ht="14.5" x14ac:dyDescent="0.3">
      <c r="D88" s="27" t="s">
        <v>85</v>
      </c>
    </row>
    <row r="89" spans="4:4" ht="14.5" x14ac:dyDescent="0.3">
      <c r="D89" s="27" t="s">
        <v>86</v>
      </c>
    </row>
    <row r="90" spans="4:4" ht="14.5" x14ac:dyDescent="0.3">
      <c r="D90" s="27" t="s">
        <v>87</v>
      </c>
    </row>
    <row r="91" spans="4:4" ht="14.5" x14ac:dyDescent="0.3">
      <c r="D91" s="27" t="s">
        <v>88</v>
      </c>
    </row>
    <row r="92" spans="4:4" ht="14.5" x14ac:dyDescent="0.3">
      <c r="D92" s="27" t="s">
        <v>89</v>
      </c>
    </row>
    <row r="93" spans="4:4" ht="14.5" x14ac:dyDescent="0.3">
      <c r="D93" s="27" t="s">
        <v>90</v>
      </c>
    </row>
    <row r="94" spans="4:4" ht="14.5" x14ac:dyDescent="0.3">
      <c r="D94" s="27" t="s">
        <v>91</v>
      </c>
    </row>
    <row r="95" spans="4:4" ht="14.5" x14ac:dyDescent="0.3">
      <c r="D95" s="27" t="s">
        <v>92</v>
      </c>
    </row>
    <row r="96" spans="4:4" ht="14.5" x14ac:dyDescent="0.3">
      <c r="D96" s="27" t="s">
        <v>93</v>
      </c>
    </row>
    <row r="97" spans="4:4" ht="14.5" x14ac:dyDescent="0.3">
      <c r="D97" s="27" t="s">
        <v>51</v>
      </c>
    </row>
    <row r="98" spans="4:4" ht="14.5" x14ac:dyDescent="0.3">
      <c r="D98" s="27" t="s">
        <v>35</v>
      </c>
    </row>
    <row r="99" spans="4:4" ht="14.5" x14ac:dyDescent="0.3">
      <c r="D99" s="27" t="s">
        <v>94</v>
      </c>
    </row>
    <row r="100" spans="4:4" ht="14.5" x14ac:dyDescent="0.3">
      <c r="D100" s="27" t="s">
        <v>95</v>
      </c>
    </row>
    <row r="101" spans="4:4" ht="14.5" x14ac:dyDescent="0.3">
      <c r="D101" s="27" t="s">
        <v>48</v>
      </c>
    </row>
    <row r="102" spans="4:4" ht="14.5" x14ac:dyDescent="0.3">
      <c r="D102" s="27" t="s">
        <v>96</v>
      </c>
    </row>
    <row r="103" spans="4:4" ht="14.5" x14ac:dyDescent="0.3">
      <c r="D103" s="27" t="s">
        <v>97</v>
      </c>
    </row>
    <row r="104" spans="4:4" ht="14.5" x14ac:dyDescent="0.3">
      <c r="D104" s="27" t="s">
        <v>98</v>
      </c>
    </row>
    <row r="105" spans="4:4" ht="14.5" x14ac:dyDescent="0.3">
      <c r="D105" s="27" t="s">
        <v>99</v>
      </c>
    </row>
  </sheetData>
  <hyperlinks>
    <hyperlink ref="A2" r:id="rId1" display="../NJ/ESSEX/Projects/M708651" xr:uid="{01D74BC6-F020-4456-9AA7-1F81322EB373}"/>
    <hyperlink ref="A3" r:id="rId2" display="../TX/HARRIS/Projects/M709137" xr:uid="{962EAF11-16E7-4198-929D-1337ABEDF65C}"/>
    <hyperlink ref="A4" r:id="rId3" display="../IL/COOK/Projects/M708637" xr:uid="{D5607A4D-E504-4E32-862C-5C1C94238AAA}"/>
    <hyperlink ref="A5" r:id="rId4" display="../NC/CHATHAM/PROJECTS/M709410" xr:uid="{1FF813D5-8C47-4CA8-9838-33572779FCB8}"/>
    <hyperlink ref="A6" r:id="rId5" display="../LA/RAPIDES/PROJECTS/M709449" xr:uid="{DB40FCDB-ED48-42FB-AABC-C23CED7364B7}"/>
    <hyperlink ref="A7" r:id="rId6" display="../Multiple States/PROJECTS/M709458" xr:uid="{7BDE900C-92EC-4831-BDE1-6C1BE5584D48}"/>
    <hyperlink ref="A13" r:id="rId7" display="../MO/ST. LOUIS/PROJECTS/M709479" xr:uid="{F70DDD04-B455-4C25-9B6B-FA1317E882D4}"/>
  </hyperlinks>
  <pageMargins left="0.7" right="0.7" top="0.75" bottom="0.75" header="0.3" footer="0.3"/>
  <pageSetup orientation="portrait" r:id="rId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errorTitle="NULL" error="Caught data validation issue; Enter correct value." xr:uid="{188A4999-FF01-48BC-A07B-02EEEF771557}">
          <x14:formula1>
            <xm:f>Rules!$B$1:$B$7</xm:f>
          </x14:formula1>
          <xm:sqref>K1:K5 J6:J13 K14:K1048576</xm:sqref>
        </x14:dataValidation>
        <x14:dataValidation type="list" showDropDown="1" showInputMessage="1" showErrorMessage="1" promptTitle="STATE INDEX" prompt="Must be a specific state abbrev." xr:uid="{05E12C9B-BFEF-4020-A2B1-9381A95CBB1C}">
          <x14:formula1>
            <xm:f>Rules!$D$1:$D$52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R17"/>
  <sheetViews>
    <sheetView zoomScale="110" zoomScaleNormal="110" workbookViewId="0">
      <pane ySplit="1" topLeftCell="A2" activePane="bottomLeft" state="frozen"/>
      <selection sqref="A1:I1"/>
      <selection pane="bottomLeft" activeCell="A2" sqref="A2"/>
    </sheetView>
  </sheetViews>
  <sheetFormatPr defaultColWidth="23.08984375" defaultRowHeight="13" x14ac:dyDescent="0.3"/>
  <cols>
    <col min="1" max="1" width="13.1796875" style="1" bestFit="1" customWidth="1"/>
    <col min="2" max="2" width="14.36328125" style="1" bestFit="1" customWidth="1"/>
    <col min="3" max="3" width="14.36328125" style="1" customWidth="1"/>
    <col min="4" max="4" width="9.54296875" style="1" bestFit="1" customWidth="1"/>
    <col min="5" max="5" width="11" style="1" bestFit="1" customWidth="1"/>
    <col min="6" max="6" width="10.81640625" style="1" bestFit="1" customWidth="1"/>
    <col min="7" max="7" width="12.90625" style="1" bestFit="1" customWidth="1"/>
    <col min="8" max="8" width="15.81640625" style="1" bestFit="1" customWidth="1"/>
    <col min="9" max="9" width="15.54296875" style="1" bestFit="1" customWidth="1"/>
    <col min="10" max="10" width="10.1796875" style="2" bestFit="1" customWidth="1"/>
    <col min="11" max="11" width="9.6328125" style="1" bestFit="1" customWidth="1"/>
    <col min="12" max="12" width="10.453125" style="1" bestFit="1" customWidth="1"/>
    <col min="13" max="13" width="18.36328125" style="1" customWidth="1"/>
    <col min="14" max="14" width="21.54296875" style="1" customWidth="1"/>
    <col min="15" max="15" width="21.81640625" style="1" customWidth="1"/>
    <col min="16" max="16" width="3.90625" style="1" customWidth="1"/>
    <col min="17" max="17" width="23.08984375" style="5"/>
    <col min="18" max="16384" width="23.08984375" style="1"/>
  </cols>
  <sheetData>
    <row r="1" spans="1:18" ht="28.25" customHeight="1" x14ac:dyDescent="0.3">
      <c r="A1" s="4" t="s">
        <v>6</v>
      </c>
      <c r="B1" s="4" t="s">
        <v>7</v>
      </c>
      <c r="C1" s="4" t="s">
        <v>15</v>
      </c>
      <c r="D1" s="4" t="s">
        <v>8</v>
      </c>
      <c r="E1" s="4" t="s">
        <v>9</v>
      </c>
      <c r="F1" s="4" t="s">
        <v>14</v>
      </c>
      <c r="G1" s="4" t="s">
        <v>11</v>
      </c>
      <c r="H1" s="4" t="s">
        <v>1</v>
      </c>
      <c r="I1" s="4" t="s">
        <v>2</v>
      </c>
      <c r="J1" s="4" t="s">
        <v>3</v>
      </c>
      <c r="K1" s="4" t="s">
        <v>4</v>
      </c>
      <c r="L1" s="4" t="s">
        <v>5</v>
      </c>
      <c r="M1" s="4" t="s">
        <v>12</v>
      </c>
      <c r="N1" s="4" t="s">
        <v>13</v>
      </c>
      <c r="P1" s="6"/>
      <c r="Q1" s="1"/>
    </row>
    <row r="2" spans="1:18" ht="14.5" x14ac:dyDescent="0.35">
      <c r="A2" s="15">
        <v>709136</v>
      </c>
      <c r="B2">
        <v>24370</v>
      </c>
      <c r="C2" s="16" t="s">
        <v>18</v>
      </c>
      <c r="D2" t="s">
        <v>35</v>
      </c>
      <c r="E2" t="s">
        <v>36</v>
      </c>
      <c r="F2" s="24">
        <v>44434</v>
      </c>
      <c r="G2" t="s">
        <v>38</v>
      </c>
      <c r="H2">
        <v>15</v>
      </c>
      <c r="I2">
        <v>1</v>
      </c>
      <c r="J2" t="s">
        <v>37</v>
      </c>
      <c r="K2" s="16" t="s">
        <v>46</v>
      </c>
      <c r="L2" t="s">
        <v>17</v>
      </c>
      <c r="M2" t="s">
        <v>53</v>
      </c>
      <c r="P2" t="s">
        <v>39</v>
      </c>
      <c r="Q2" s="1"/>
      <c r="R2"/>
    </row>
    <row r="3" spans="1:18" ht="14.5" x14ac:dyDescent="0.35">
      <c r="A3" s="15">
        <v>709259</v>
      </c>
      <c r="B3" s="16">
        <v>24641</v>
      </c>
      <c r="C3" s="16" t="s">
        <v>18</v>
      </c>
      <c r="D3" s="16" t="s">
        <v>51</v>
      </c>
      <c r="E3" s="16" t="s">
        <v>52</v>
      </c>
      <c r="F3" s="24">
        <v>44434</v>
      </c>
      <c r="G3" s="16" t="s">
        <v>50</v>
      </c>
      <c r="H3" s="16">
        <v>10</v>
      </c>
      <c r="I3" s="16">
        <v>1</v>
      </c>
      <c r="J3" s="16" t="s">
        <v>54</v>
      </c>
      <c r="K3" s="16" t="s">
        <v>46</v>
      </c>
      <c r="L3" s="16" t="s">
        <v>47</v>
      </c>
      <c r="M3" s="17" t="s">
        <v>53</v>
      </c>
      <c r="N3" s="16"/>
      <c r="O3"/>
    </row>
    <row r="4" spans="1:18" ht="14.5" x14ac:dyDescent="0.35">
      <c r="A4">
        <v>709258</v>
      </c>
      <c r="B4" s="16">
        <v>24640</v>
      </c>
      <c r="C4" s="16" t="s">
        <v>18</v>
      </c>
      <c r="D4" s="16" t="s">
        <v>48</v>
      </c>
      <c r="E4" s="16" t="s">
        <v>49</v>
      </c>
      <c r="F4" s="24">
        <v>44434</v>
      </c>
      <c r="G4" s="16" t="s">
        <v>50</v>
      </c>
      <c r="H4" s="16">
        <v>3</v>
      </c>
      <c r="I4" s="16">
        <v>1</v>
      </c>
      <c r="J4" s="16" t="s">
        <v>54</v>
      </c>
      <c r="K4" s="16" t="s">
        <v>46</v>
      </c>
      <c r="L4" s="16" t="s">
        <v>47</v>
      </c>
      <c r="M4" s="17" t="s">
        <v>53</v>
      </c>
      <c r="N4" s="16"/>
      <c r="O4"/>
    </row>
    <row r="5" spans="1:18" ht="14.5" x14ac:dyDescent="0.35">
      <c r="A5" s="15">
        <v>709146</v>
      </c>
      <c r="B5" s="16">
        <v>24605</v>
      </c>
      <c r="C5" s="16" t="s">
        <v>18</v>
      </c>
      <c r="D5" s="16" t="s">
        <v>44</v>
      </c>
      <c r="E5" s="16" t="s">
        <v>45</v>
      </c>
      <c r="F5" s="24">
        <v>44434</v>
      </c>
      <c r="G5" s="16" t="s">
        <v>50</v>
      </c>
      <c r="H5" s="16">
        <v>5</v>
      </c>
      <c r="I5" s="16">
        <v>1</v>
      </c>
      <c r="J5" s="16" t="s">
        <v>54</v>
      </c>
      <c r="K5" s="16" t="s">
        <v>46</v>
      </c>
      <c r="L5" s="16" t="s">
        <v>47</v>
      </c>
      <c r="M5" s="17" t="s">
        <v>53</v>
      </c>
      <c r="O5"/>
    </row>
    <row r="6" spans="1:18" ht="14.5" x14ac:dyDescent="0.35">
      <c r="A6">
        <v>709138</v>
      </c>
      <c r="B6" s="16">
        <v>24368</v>
      </c>
      <c r="C6" s="16" t="s">
        <v>18</v>
      </c>
      <c r="D6" s="16" t="s">
        <v>42</v>
      </c>
      <c r="E6" s="16" t="s">
        <v>43</v>
      </c>
      <c r="F6" s="24">
        <v>44434</v>
      </c>
      <c r="G6" s="16" t="s">
        <v>57</v>
      </c>
      <c r="H6" s="16">
        <v>3</v>
      </c>
      <c r="I6" s="16">
        <v>1</v>
      </c>
      <c r="J6" s="16" t="s">
        <v>54</v>
      </c>
      <c r="K6" s="16" t="s">
        <v>46</v>
      </c>
      <c r="L6" s="16" t="s">
        <v>47</v>
      </c>
      <c r="M6" s="17" t="s">
        <v>53</v>
      </c>
      <c r="N6" s="16"/>
      <c r="O6"/>
      <c r="Q6"/>
    </row>
    <row r="7" spans="1:18" ht="14.5" x14ac:dyDescent="0.35">
      <c r="A7" s="11"/>
      <c r="G7" s="12"/>
    </row>
    <row r="8" spans="1:18" x14ac:dyDescent="0.3">
      <c r="G8" s="10"/>
    </row>
    <row r="9" spans="1:18" s="3" customFormat="1" ht="14.5" x14ac:dyDescent="0.35">
      <c r="A9" s="11"/>
      <c r="B9" s="1"/>
      <c r="C9" s="1"/>
      <c r="D9" s="1"/>
      <c r="E9" s="1"/>
      <c r="F9" s="1"/>
      <c r="G9" s="12"/>
      <c r="H9" s="1"/>
      <c r="I9" s="1"/>
      <c r="J9" s="2"/>
      <c r="K9" s="1"/>
      <c r="L9" s="1"/>
      <c r="M9" s="1"/>
      <c r="N9" s="1"/>
      <c r="Q9" s="9"/>
    </row>
    <row r="10" spans="1:18" s="3" customFormat="1" ht="14.5" x14ac:dyDescent="0.35">
      <c r="A10" s="11"/>
      <c r="B10" s="1"/>
      <c r="C10" s="1"/>
      <c r="D10" s="1"/>
      <c r="E10" s="1"/>
      <c r="F10" s="1"/>
      <c r="G10" s="12"/>
      <c r="H10" s="1"/>
      <c r="I10" s="1"/>
      <c r="J10" s="2"/>
      <c r="K10" s="1"/>
      <c r="L10" s="1"/>
      <c r="M10" s="1"/>
      <c r="Q10" s="9"/>
    </row>
    <row r="11" spans="1:18" s="3" customFormat="1" ht="14.5" x14ac:dyDescent="0.35">
      <c r="A11" s="14"/>
      <c r="G11" s="13"/>
      <c r="N11" s="1"/>
      <c r="O11" s="1"/>
      <c r="Q11" s="8"/>
    </row>
    <row r="12" spans="1:18" ht="14.5" x14ac:dyDescent="0.35">
      <c r="A12" s="11"/>
      <c r="G12" s="12"/>
    </row>
    <row r="13" spans="1:18" ht="14.5" x14ac:dyDescent="0.35">
      <c r="A13" s="11"/>
      <c r="G13" s="12"/>
    </row>
    <row r="14" spans="1:18" ht="14.5" x14ac:dyDescent="0.35">
      <c r="A14" s="11"/>
      <c r="G14" s="12"/>
      <c r="N14" s="3"/>
    </row>
    <row r="15" spans="1:18" s="3" customFormat="1" x14ac:dyDescent="0.3">
      <c r="J15" s="7"/>
      <c r="Q15" s="9"/>
    </row>
    <row r="16" spans="1:18" s="3" customFormat="1" x14ac:dyDescent="0.3">
      <c r="J16" s="7"/>
      <c r="Q16" s="9"/>
    </row>
    <row r="17" spans="10:17" s="3" customFormat="1" x14ac:dyDescent="0.3">
      <c r="J17" s="7"/>
      <c r="N17" s="1"/>
      <c r="Q17" s="9"/>
    </row>
  </sheetData>
  <autoFilter ref="A1:J1" xr:uid="{00000000-0009-0000-0000-000002000000}"/>
  <conditionalFormatting sqref="N1">
    <cfRule type="colorScale" priority="242">
      <colorScale>
        <cfvo type="min"/>
        <cfvo type="percentile" val="50"/>
        <cfvo type="max"/>
        <color rgb="FFFFFF99"/>
        <color rgb="FFFF9999"/>
        <color rgb="FF9999FF"/>
      </colorScale>
    </cfRule>
  </conditionalFormatting>
  <conditionalFormatting sqref="M1 P1 N14:N1048576 Q9:Q10 Q15:Q1048576">
    <cfRule type="containsText" dxfId="147" priority="212" operator="containsText" text="map">
      <formula>NOT(ISERROR(SEARCH("map",M1)))</formula>
    </cfRule>
    <cfRule type="containsText" dxfId="146" priority="213" operator="containsText" text="RTG SENT">
      <formula>NOT(ISERROR(SEARCH("RTG SENT",M1)))</formula>
    </cfRule>
    <cfRule type="containsText" dxfId="145" priority="214" operator="containsText" text="FUP">
      <formula>NOT(ISERROR(SEARCH("FUP",M1)))</formula>
    </cfRule>
    <cfRule type="containsText" dxfId="144" priority="216" operator="containsText" text="PROV">
      <formula>NOT(ISERROR(SEARCH("PROV",M1)))</formula>
    </cfRule>
  </conditionalFormatting>
  <conditionalFormatting sqref="N5">
    <cfRule type="containsText" dxfId="143" priority="180" operator="containsText" text="map">
      <formula>NOT(ISERROR(SEARCH("map",N5)))</formula>
    </cfRule>
    <cfRule type="containsText" dxfId="142" priority="181" operator="containsText" text="RTG SENT">
      <formula>NOT(ISERROR(SEARCH("RTG SENT",N5)))</formula>
    </cfRule>
    <cfRule type="containsText" dxfId="141" priority="182" operator="containsText" text="FUP">
      <formula>NOT(ISERROR(SEARCH("FUP",N5)))</formula>
    </cfRule>
    <cfRule type="containsText" dxfId="140" priority="183" operator="containsText" text="PROV">
      <formula>NOT(ISERROR(SEARCH("PROV",N5)))</formula>
    </cfRule>
  </conditionalFormatting>
  <conditionalFormatting sqref="N5">
    <cfRule type="containsText" dxfId="139" priority="178" operator="containsText" text="PROV">
      <formula>NOT(ISERROR(SEARCH("PROV",N5)))</formula>
    </cfRule>
  </conditionalFormatting>
  <conditionalFormatting sqref="Q7">
    <cfRule type="containsText" dxfId="138" priority="174" operator="containsText" text="map">
      <formula>NOT(ISERROR(SEARCH("map",Q7)))</formula>
    </cfRule>
    <cfRule type="containsText" dxfId="137" priority="175" operator="containsText" text="RTG SENT">
      <formula>NOT(ISERROR(SEARCH("RTG SENT",Q7)))</formula>
    </cfRule>
    <cfRule type="containsText" dxfId="136" priority="176" operator="containsText" text="FUP">
      <formula>NOT(ISERROR(SEARCH("FUP",Q7)))</formula>
    </cfRule>
    <cfRule type="containsText" dxfId="135" priority="177" operator="containsText" text="PROV">
      <formula>NOT(ISERROR(SEARCH("PROV",Q7)))</formula>
    </cfRule>
  </conditionalFormatting>
  <conditionalFormatting sqref="G7">
    <cfRule type="timePeriod" dxfId="134" priority="173" timePeriod="today">
      <formula>FLOOR(G7,1)=TODAY()</formula>
    </cfRule>
  </conditionalFormatting>
  <conditionalFormatting sqref="Q8 N7">
    <cfRule type="containsText" dxfId="133" priority="168" operator="containsText" text="map">
      <formula>NOT(ISERROR(SEARCH("map",N7)))</formula>
    </cfRule>
    <cfRule type="containsText" dxfId="132" priority="169" operator="containsText" text="RTG SENT">
      <formula>NOT(ISERROR(SEARCH("RTG SENT",N7)))</formula>
    </cfRule>
    <cfRule type="containsText" dxfId="131" priority="170" operator="containsText" text="FUP">
      <formula>NOT(ISERROR(SEARCH("FUP",N7)))</formula>
    </cfRule>
    <cfRule type="containsText" dxfId="130" priority="171" operator="containsText" text="PROV">
      <formula>NOT(ISERROR(SEARCH("PROV",N7)))</formula>
    </cfRule>
  </conditionalFormatting>
  <conditionalFormatting sqref="G8">
    <cfRule type="timePeriod" dxfId="129" priority="167" timePeriod="today">
      <formula>FLOOR(G8,1)=TODAY()</formula>
    </cfRule>
  </conditionalFormatting>
  <conditionalFormatting sqref="N7">
    <cfRule type="containsText" dxfId="128" priority="166" operator="containsText" text="PROV">
      <formula>NOT(ISERROR(SEARCH("PROV",N7)))</formula>
    </cfRule>
  </conditionalFormatting>
  <conditionalFormatting sqref="N8:N9">
    <cfRule type="containsText" dxfId="127" priority="162" operator="containsText" text="map">
      <formula>NOT(ISERROR(SEARCH("map",N8)))</formula>
    </cfRule>
    <cfRule type="containsText" dxfId="126" priority="163" operator="containsText" text="RTG SENT">
      <formula>NOT(ISERROR(SEARCH("RTG SENT",N8)))</formula>
    </cfRule>
    <cfRule type="containsText" dxfId="125" priority="164" operator="containsText" text="FUP">
      <formula>NOT(ISERROR(SEARCH("FUP",N8)))</formula>
    </cfRule>
    <cfRule type="containsText" dxfId="124" priority="165" operator="containsText" text="PROV">
      <formula>NOT(ISERROR(SEARCH("PROV",N8)))</formula>
    </cfRule>
  </conditionalFormatting>
  <conditionalFormatting sqref="G9:G10">
    <cfRule type="timePeriod" dxfId="123" priority="161" timePeriod="today">
      <formula>FLOOR(G9,1)=TODAY()</formula>
    </cfRule>
  </conditionalFormatting>
  <conditionalFormatting sqref="N8:N9">
    <cfRule type="containsText" dxfId="122" priority="160" operator="containsText" text="PROV">
      <formula>NOT(ISERROR(SEARCH("PROV",N8)))</formula>
    </cfRule>
  </conditionalFormatting>
  <conditionalFormatting sqref="Q11">
    <cfRule type="containsText" dxfId="121" priority="151" operator="containsText" text="map">
      <formula>NOT(ISERROR(SEARCH("map",Q11)))</formula>
    </cfRule>
    <cfRule type="containsText" dxfId="120" priority="152" operator="containsText" text="RTG SENT">
      <formula>NOT(ISERROR(SEARCH("RTG SENT",Q11)))</formula>
    </cfRule>
    <cfRule type="containsText" dxfId="119" priority="153" operator="containsText" text="FUP">
      <formula>NOT(ISERROR(SEARCH("FUP",Q11)))</formula>
    </cfRule>
  </conditionalFormatting>
  <conditionalFormatting sqref="Q12 N11">
    <cfRule type="containsText" dxfId="118" priority="147" operator="containsText" text="map">
      <formula>NOT(ISERROR(SEARCH("map",N11)))</formula>
    </cfRule>
    <cfRule type="containsText" dxfId="117" priority="148" operator="containsText" text="RTG SENT">
      <formula>NOT(ISERROR(SEARCH("RTG SENT",N11)))</formula>
    </cfRule>
    <cfRule type="containsText" dxfId="116" priority="149" operator="containsText" text="FUP">
      <formula>NOT(ISERROR(SEARCH("FUP",N11)))</formula>
    </cfRule>
    <cfRule type="containsText" dxfId="115" priority="150" operator="containsText" text="PROV">
      <formula>NOT(ISERROR(SEARCH("PROV",N11)))</formula>
    </cfRule>
  </conditionalFormatting>
  <conditionalFormatting sqref="G12">
    <cfRule type="timePeriod" dxfId="114" priority="146" timePeriod="today">
      <formula>FLOOR(G12,1)=TODAY()</formula>
    </cfRule>
  </conditionalFormatting>
  <conditionalFormatting sqref="N11">
    <cfRule type="containsText" dxfId="113" priority="145" operator="containsText" text="PROV">
      <formula>NOT(ISERROR(SEARCH("PROV",N11)))</formula>
    </cfRule>
  </conditionalFormatting>
  <conditionalFormatting sqref="N12 Q13">
    <cfRule type="containsText" dxfId="112" priority="141" operator="containsText" text="map">
      <formula>NOT(ISERROR(SEARCH("map",N12)))</formula>
    </cfRule>
    <cfRule type="containsText" dxfId="111" priority="142" operator="containsText" text="RTG SENT">
      <formula>NOT(ISERROR(SEARCH("RTG SENT",N12)))</formula>
    </cfRule>
    <cfRule type="containsText" dxfId="110" priority="143" operator="containsText" text="FUP">
      <formula>NOT(ISERROR(SEARCH("FUP",N12)))</formula>
    </cfRule>
    <cfRule type="containsText" dxfId="109" priority="144" operator="containsText" text="PROV">
      <formula>NOT(ISERROR(SEARCH("PROV",N12)))</formula>
    </cfRule>
  </conditionalFormatting>
  <conditionalFormatting sqref="G13">
    <cfRule type="timePeriod" dxfId="108" priority="140" timePeriod="today">
      <formula>FLOOR(G13,1)=TODAY()</formula>
    </cfRule>
  </conditionalFormatting>
  <conditionalFormatting sqref="N12">
    <cfRule type="containsText" dxfId="107" priority="139" operator="containsText" text="PROV">
      <formula>NOT(ISERROR(SEARCH("PROV",N12)))</formula>
    </cfRule>
  </conditionalFormatting>
  <conditionalFormatting sqref="N13 Q14">
    <cfRule type="containsText" dxfId="106" priority="135" operator="containsText" text="map">
      <formula>NOT(ISERROR(SEARCH("map",N13)))</formula>
    </cfRule>
    <cfRule type="containsText" dxfId="105" priority="136" operator="containsText" text="RTG SENT">
      <formula>NOT(ISERROR(SEARCH("RTG SENT",N13)))</formula>
    </cfRule>
    <cfRule type="containsText" dxfId="104" priority="137" operator="containsText" text="FUP">
      <formula>NOT(ISERROR(SEARCH("FUP",N13)))</formula>
    </cfRule>
    <cfRule type="containsText" dxfId="103" priority="138" operator="containsText" text="PROV">
      <formula>NOT(ISERROR(SEARCH("PROV",N13)))</formula>
    </cfRule>
  </conditionalFormatting>
  <conditionalFormatting sqref="G14">
    <cfRule type="timePeriod" dxfId="102" priority="134" timePeriod="today">
      <formula>FLOOR(G14,1)=TODAY()</formula>
    </cfRule>
  </conditionalFormatting>
  <conditionalFormatting sqref="N13">
    <cfRule type="containsText" dxfId="101" priority="133" operator="containsText" text="PROV">
      <formula>NOT(ISERROR(SEARCH("PROV",N13)))</formula>
    </cfRule>
  </conditionalFormatting>
  <conditionalFormatting sqref="S2:XFD2 P2:Q2 B2:M2 A3:XFD3 B4:XFD4 A5:XFD5 B6:P6">
    <cfRule type="expression" dxfId="100" priority="119">
      <formula>$C2="UCSS"</formula>
    </cfRule>
    <cfRule type="expression" dxfId="99" priority="120">
      <formula>$C2="TIER 2/3"</formula>
    </cfRule>
    <cfRule type="expression" dxfId="98" priority="121">
      <formula>$C2="DISH"</formula>
    </cfRule>
    <cfRule type="expression" dxfId="97" priority="122">
      <formula>$C2="SPRINT"</formula>
    </cfRule>
    <cfRule type="expression" dxfId="96" priority="123">
      <formula>$C2="ATTMO"</formula>
    </cfRule>
  </conditionalFormatting>
  <conditionalFormatting sqref="J2">
    <cfRule type="expression" dxfId="95" priority="280">
      <formula>SUM(COUNTIF($J2,"*"&amp;Flag1&amp;"*"))</formula>
    </cfRule>
  </conditionalFormatting>
  <conditionalFormatting sqref="J3">
    <cfRule type="expression" dxfId="94" priority="105">
      <formula>SUM(COUNTIF($J3,"*"&amp;Flag1&amp;"*"))</formula>
    </cfRule>
  </conditionalFormatting>
  <conditionalFormatting sqref="F3:F4">
    <cfRule type="expression" dxfId="93" priority="99">
      <formula>AND($F3-TODAY()&gt;=-10,$F3-TODAY()&lt;3)</formula>
    </cfRule>
    <cfRule type="expression" dxfId="92" priority="100">
      <formula>AND($F3-TODAY()&gt;7,$F3-TODAY()&lt;=100)</formula>
    </cfRule>
    <cfRule type="expression" dxfId="91" priority="101">
      <formula>AND($F3-TODAY()&gt;=3,$F3-TODAY()&lt;=7)</formula>
    </cfRule>
    <cfRule type="cellIs" dxfId="90" priority="102" operator="between">
      <formula>"TODAY()"</formula>
      <formula>"TODAY()+3"</formula>
    </cfRule>
    <cfRule type="cellIs" dxfId="89" priority="103" operator="between">
      <formula>"TODAY()"</formula>
      <formula>"TODAY()+7"</formula>
    </cfRule>
    <cfRule type="cellIs" dxfId="88" priority="104" operator="between">
      <formula>"TODAY()"</formula>
      <formula>"TODAY()+10"</formula>
    </cfRule>
  </conditionalFormatting>
  <conditionalFormatting sqref="M3:M6">
    <cfRule type="expression" dxfId="87" priority="91">
      <formula>AND($M3-TODAY()&gt;=0,$M3-TODAY()&lt;=3)</formula>
    </cfRule>
    <cfRule type="expression" dxfId="86" priority="92">
      <formula>AND($M3-TODAY()&gt;=3,$M3-TODAY()&lt;=100)</formula>
    </cfRule>
    <cfRule type="expression" dxfId="85" priority="93">
      <formula>AND($F3-TODAY()&gt;=-10,$F3-TODAY()&lt;3)</formula>
    </cfRule>
    <cfRule type="expression" dxfId="84" priority="94">
      <formula>AND($F3-TODAY()&gt;7,$F3-TODAY()&lt;=100)</formula>
    </cfRule>
    <cfRule type="expression" dxfId="83" priority="95">
      <formula>AND($F3-TODAY()&gt;=3,$F3-TODAY()&lt;=7)</formula>
    </cfRule>
    <cfRule type="cellIs" dxfId="82" priority="96" operator="between">
      <formula>"TODAY()"</formula>
      <formula>"TODAY()+3"</formula>
    </cfRule>
    <cfRule type="cellIs" dxfId="81" priority="97" operator="between">
      <formula>"TODAY()"</formula>
      <formula>"TODAY()+7"</formula>
    </cfRule>
    <cfRule type="cellIs" dxfId="80" priority="98" operator="between">
      <formula>"TODAY()"</formula>
      <formula>"TODAY()+10"</formula>
    </cfRule>
  </conditionalFormatting>
  <conditionalFormatting sqref="J4">
    <cfRule type="expression" dxfId="79" priority="85">
      <formula>SUM(COUNTIF($J4,"*"&amp;Flag1&amp;"*"))</formula>
    </cfRule>
  </conditionalFormatting>
  <conditionalFormatting sqref="F4">
    <cfRule type="expression" dxfId="78" priority="79">
      <formula>AND($F4-TODAY()&gt;=-10,$F4-TODAY()&lt;3)</formula>
    </cfRule>
    <cfRule type="expression" dxfId="77" priority="80">
      <formula>AND($F4-TODAY()&gt;7,$F4-TODAY()&lt;=100)</formula>
    </cfRule>
    <cfRule type="expression" dxfId="76" priority="81">
      <formula>AND($F4-TODAY()&gt;=3,$F4-TODAY()&lt;=7)</formula>
    </cfRule>
    <cfRule type="cellIs" dxfId="75" priority="82" operator="between">
      <formula>"TODAY()"</formula>
      <formula>"TODAY()+3"</formula>
    </cfRule>
    <cfRule type="cellIs" dxfId="74" priority="83" operator="between">
      <formula>"TODAY()"</formula>
      <formula>"TODAY()+7"</formula>
    </cfRule>
    <cfRule type="cellIs" dxfId="73" priority="84" operator="between">
      <formula>"TODAY()"</formula>
      <formula>"TODAY()+10"</formula>
    </cfRule>
  </conditionalFormatting>
  <conditionalFormatting sqref="M4:M6">
    <cfRule type="expression" dxfId="72" priority="71">
      <formula>AND($M4-TODAY()&gt;=0,$M4-TODAY()&lt;=3)</formula>
    </cfRule>
    <cfRule type="expression" dxfId="71" priority="72">
      <formula>AND($M4-TODAY()&gt;=3,$M4-TODAY()&lt;=100)</formula>
    </cfRule>
    <cfRule type="expression" dxfId="70" priority="73">
      <formula>AND($F4-TODAY()&gt;=-10,$F4-TODAY()&lt;3)</formula>
    </cfRule>
    <cfRule type="expression" dxfId="69" priority="74">
      <formula>AND($F4-TODAY()&gt;7,$F4-TODAY()&lt;=100)</formula>
    </cfRule>
    <cfRule type="expression" dxfId="68" priority="75">
      <formula>AND($F4-TODAY()&gt;=3,$F4-TODAY()&lt;=7)</formula>
    </cfRule>
    <cfRule type="cellIs" dxfId="67" priority="76" operator="between">
      <formula>"TODAY()"</formula>
      <formula>"TODAY()+3"</formula>
    </cfRule>
    <cfRule type="cellIs" dxfId="66" priority="77" operator="between">
      <formula>"TODAY()"</formula>
      <formula>"TODAY()+7"</formula>
    </cfRule>
    <cfRule type="cellIs" dxfId="65" priority="78" operator="between">
      <formula>"TODAY()"</formula>
      <formula>"TODAY()+10"</formula>
    </cfRule>
  </conditionalFormatting>
  <conditionalFormatting sqref="J5">
    <cfRule type="expression" dxfId="64" priority="65">
      <formula>SUM(COUNTIF($J5,"*"&amp;Flag1&amp;"*"))</formula>
    </cfRule>
  </conditionalFormatting>
  <conditionalFormatting sqref="F5">
    <cfRule type="expression" dxfId="63" priority="59">
      <formula>AND($F5-TODAY()&gt;=-10,$F5-TODAY()&lt;3)</formula>
    </cfRule>
    <cfRule type="expression" dxfId="62" priority="60">
      <formula>AND($F5-TODAY()&gt;7,$F5-TODAY()&lt;=100)</formula>
    </cfRule>
    <cfRule type="expression" dxfId="61" priority="61">
      <formula>AND($F5-TODAY()&gt;=3,$F5-TODAY()&lt;=7)</formula>
    </cfRule>
    <cfRule type="cellIs" dxfId="60" priority="62" operator="between">
      <formula>"TODAY()"</formula>
      <formula>"TODAY()+3"</formula>
    </cfRule>
    <cfRule type="cellIs" dxfId="59" priority="63" operator="between">
      <formula>"TODAY()"</formula>
      <formula>"TODAY()+7"</formula>
    </cfRule>
    <cfRule type="cellIs" dxfId="58" priority="64" operator="between">
      <formula>"TODAY()"</formula>
      <formula>"TODAY()+10"</formula>
    </cfRule>
  </conditionalFormatting>
  <conditionalFormatting sqref="M5:M6">
    <cfRule type="expression" dxfId="57" priority="51">
      <formula>AND($M5-TODAY()&gt;=0,$M5-TODAY()&lt;=3)</formula>
    </cfRule>
    <cfRule type="expression" dxfId="56" priority="52">
      <formula>AND($M5-TODAY()&gt;=3,$M5-TODAY()&lt;=100)</formula>
    </cfRule>
    <cfRule type="expression" dxfId="55" priority="53">
      <formula>AND($F5-TODAY()&gt;=-10,$F5-TODAY()&lt;3)</formula>
    </cfRule>
    <cfRule type="expression" dxfId="54" priority="54">
      <formula>AND($F5-TODAY()&gt;7,$F5-TODAY()&lt;=100)</formula>
    </cfRule>
    <cfRule type="expression" dxfId="53" priority="55">
      <formula>AND($F5-TODAY()&gt;=3,$F5-TODAY()&lt;=7)</formula>
    </cfRule>
    <cfRule type="cellIs" dxfId="52" priority="56" operator="between">
      <formula>"TODAY()"</formula>
      <formula>"TODAY()+3"</formula>
    </cfRule>
    <cfRule type="cellIs" dxfId="51" priority="57" operator="between">
      <formula>"TODAY()"</formula>
      <formula>"TODAY()+7"</formula>
    </cfRule>
    <cfRule type="cellIs" dxfId="50" priority="58" operator="between">
      <formula>"TODAY()"</formula>
      <formula>"TODAY()+10"</formula>
    </cfRule>
  </conditionalFormatting>
  <conditionalFormatting sqref="F5">
    <cfRule type="expression" dxfId="49" priority="45">
      <formula>AND($F5-TODAY()&gt;=-10,$F5-TODAY()&lt;3)</formula>
    </cfRule>
    <cfRule type="expression" dxfId="48" priority="46">
      <formula>AND($F5-TODAY()&gt;7,$F5-TODAY()&lt;=100)</formula>
    </cfRule>
    <cfRule type="expression" dxfId="47" priority="47">
      <formula>AND($F5-TODAY()&gt;=3,$F5-TODAY()&lt;=7)</formula>
    </cfRule>
    <cfRule type="cellIs" dxfId="46" priority="48" operator="between">
      <formula>"TODAY()"</formula>
      <formula>"TODAY()+3"</formula>
    </cfRule>
    <cfRule type="cellIs" dxfId="45" priority="49" operator="between">
      <formula>"TODAY()"</formula>
      <formula>"TODAY()+7"</formula>
    </cfRule>
    <cfRule type="cellIs" dxfId="44" priority="50" operator="between">
      <formula>"TODAY()"</formula>
      <formula>"TODAY()+10"</formula>
    </cfRule>
  </conditionalFormatting>
  <conditionalFormatting sqref="F5">
    <cfRule type="expression" dxfId="43" priority="39">
      <formula>AND($F5-TODAY()&gt;=-10,$F5-TODAY()&lt;3)</formula>
    </cfRule>
    <cfRule type="expression" dxfId="42" priority="40">
      <formula>AND($F5-TODAY()&gt;7,$F5-TODAY()&lt;=100)</formula>
    </cfRule>
    <cfRule type="expression" dxfId="41" priority="41">
      <formula>AND($F5-TODAY()&gt;=3,$F5-TODAY()&lt;=7)</formula>
    </cfRule>
    <cfRule type="cellIs" dxfId="40" priority="42" operator="between">
      <formula>"TODAY()"</formula>
      <formula>"TODAY()+3"</formula>
    </cfRule>
    <cfRule type="cellIs" dxfId="39" priority="43" operator="between">
      <formula>"TODAY()"</formula>
      <formula>"TODAY()+7"</formula>
    </cfRule>
    <cfRule type="cellIs" dxfId="38" priority="44" operator="between">
      <formula>"TODAY()"</formula>
      <formula>"TODAY()+10"</formula>
    </cfRule>
  </conditionalFormatting>
  <conditionalFormatting sqref="R6:XFD6">
    <cfRule type="expression" dxfId="37" priority="34">
      <formula>$C6="UCSS"</formula>
    </cfRule>
    <cfRule type="expression" dxfId="36" priority="35">
      <formula>$C6="TIER 2/3"</formula>
    </cfRule>
    <cfRule type="expression" dxfId="35" priority="36">
      <formula>$C6="DISH"</formula>
    </cfRule>
    <cfRule type="expression" dxfId="34" priority="37">
      <formula>$C6="SPRINT"</formula>
    </cfRule>
    <cfRule type="expression" dxfId="33" priority="38">
      <formula>$C6="ATTMO"</formula>
    </cfRule>
  </conditionalFormatting>
  <conditionalFormatting sqref="J6">
    <cfRule type="expression" dxfId="32" priority="33">
      <formula>SUM(COUNTIF($J6,"*"&amp;Flag1&amp;"*"))</formula>
    </cfRule>
  </conditionalFormatting>
  <conditionalFormatting sqref="F6">
    <cfRule type="expression" dxfId="31" priority="27">
      <formula>AND($F6-TODAY()&gt;=-10,$F6-TODAY()&lt;3)</formula>
    </cfRule>
    <cfRule type="expression" dxfId="30" priority="28">
      <formula>AND($F6-TODAY()&gt;7,$F6-TODAY()&lt;=100)</formula>
    </cfRule>
    <cfRule type="expression" dxfId="29" priority="29">
      <formula>AND($F6-TODAY()&gt;=3,$F6-TODAY()&lt;=7)</formula>
    </cfRule>
    <cfRule type="cellIs" dxfId="28" priority="30" operator="between">
      <formula>"TODAY()"</formula>
      <formula>"TODAY()+3"</formula>
    </cfRule>
    <cfRule type="cellIs" dxfId="27" priority="31" operator="between">
      <formula>"TODAY()"</formula>
      <formula>"TODAY()+7"</formula>
    </cfRule>
    <cfRule type="cellIs" dxfId="26" priority="32" operator="between">
      <formula>"TODAY()"</formula>
      <formula>"TODAY()+10"</formula>
    </cfRule>
  </conditionalFormatting>
  <conditionalFormatting sqref="M6">
    <cfRule type="expression" dxfId="25" priority="19">
      <formula>AND($M6-TODAY()&gt;=0,$M6-TODAY()&lt;=3)</formula>
    </cfRule>
    <cfRule type="expression" dxfId="24" priority="20">
      <formula>AND($M6-TODAY()&gt;=3,$M6-TODAY()&lt;=100)</formula>
    </cfRule>
    <cfRule type="expression" dxfId="23" priority="21">
      <formula>AND($F6-TODAY()&gt;=-10,$F6-TODAY()&lt;3)</formula>
    </cfRule>
    <cfRule type="expression" dxfId="22" priority="22">
      <formula>AND($F6-TODAY()&gt;7,$F6-TODAY()&lt;=100)</formula>
    </cfRule>
    <cfRule type="expression" dxfId="21" priority="23">
      <formula>AND($F6-TODAY()&gt;=3,$F6-TODAY()&lt;=7)</formula>
    </cfRule>
    <cfRule type="cellIs" dxfId="20" priority="24" operator="between">
      <formula>"TODAY()"</formula>
      <formula>"TODAY()+3"</formula>
    </cfRule>
    <cfRule type="cellIs" dxfId="19" priority="25" operator="between">
      <formula>"TODAY()"</formula>
      <formula>"TODAY()+7"</formula>
    </cfRule>
    <cfRule type="cellIs" dxfId="18" priority="26" operator="between">
      <formula>"TODAY()"</formula>
      <formula>"TODAY()+10"</formula>
    </cfRule>
  </conditionalFormatting>
  <conditionalFormatting sqref="F6">
    <cfRule type="expression" dxfId="17" priority="1">
      <formula>AND($F6-TODAY()&gt;=-10,$F6-TODAY()&lt;3)</formula>
    </cfRule>
    <cfRule type="expression" dxfId="16" priority="2">
      <formula>AND($F6-TODAY()&gt;7,$F6-TODAY()&lt;=100)</formula>
    </cfRule>
    <cfRule type="expression" dxfId="15" priority="3">
      <formula>AND($F6-TODAY()&gt;=3,$F6-TODAY()&lt;=7)</formula>
    </cfRule>
    <cfRule type="cellIs" dxfId="14" priority="4" operator="between">
      <formula>"TODAY()"</formula>
      <formula>"TODAY()+3"</formula>
    </cfRule>
    <cfRule type="cellIs" dxfId="13" priority="5" operator="between">
      <formula>"TODAY()"</formula>
      <formula>"TODAY()+7"</formula>
    </cfRule>
    <cfRule type="cellIs" dxfId="12" priority="6" operator="between">
      <formula>"TODAY()"</formula>
      <formula>"TODAY()+10"</formula>
    </cfRule>
  </conditionalFormatting>
  <conditionalFormatting sqref="F6">
    <cfRule type="expression" dxfId="11" priority="13">
      <formula>AND($F6-TODAY()&gt;=-10,$F6-TODAY()&lt;3)</formula>
    </cfRule>
    <cfRule type="expression" dxfId="10" priority="14">
      <formula>AND($F6-TODAY()&gt;7,$F6-TODAY()&lt;=100)</formula>
    </cfRule>
    <cfRule type="expression" dxfId="9" priority="15">
      <formula>AND($F6-TODAY()&gt;=3,$F6-TODAY()&lt;=7)</formula>
    </cfRule>
    <cfRule type="cellIs" dxfId="8" priority="16" operator="between">
      <formula>"TODAY()"</formula>
      <formula>"TODAY()+3"</formula>
    </cfRule>
    <cfRule type="cellIs" dxfId="7" priority="17" operator="between">
      <formula>"TODAY()"</formula>
      <formula>"TODAY()+7"</formula>
    </cfRule>
    <cfRule type="cellIs" dxfId="6" priority="18" operator="between">
      <formula>"TODAY()"</formula>
      <formula>"TODAY()+10"</formula>
    </cfRule>
  </conditionalFormatting>
  <conditionalFormatting sqref="F6">
    <cfRule type="expression" dxfId="5" priority="7">
      <formula>AND($F6-TODAY()&gt;=-10,$F6-TODAY()&lt;3)</formula>
    </cfRule>
    <cfRule type="expression" dxfId="4" priority="8">
      <formula>AND($F6-TODAY()&gt;7,$F6-TODAY()&lt;=100)</formula>
    </cfRule>
    <cfRule type="expression" dxfId="3" priority="9">
      <formula>AND($F6-TODAY()&gt;=3,$F6-TODAY()&lt;=7)</formula>
    </cfRule>
    <cfRule type="cellIs" dxfId="2" priority="10" operator="between">
      <formula>"TODAY()"</formula>
      <formula>"TODAY()+3"</formula>
    </cfRule>
    <cfRule type="cellIs" dxfId="1" priority="11" operator="between">
      <formula>"TODAY()"</formula>
      <formula>"TODAY()+7"</formula>
    </cfRule>
    <cfRule type="cellIs" dxfId="0" priority="12" operator="between">
      <formula>"TODAY()"</formula>
      <formula>"TODAY()+10"</formula>
    </cfRule>
  </conditionalFormatting>
  <hyperlinks>
    <hyperlink ref="A2" r:id="rId1" display="../TX/COMAL/Projects/M709136" xr:uid="{029CDBFF-9EF8-4DB5-AF13-40329895282B}"/>
    <hyperlink ref="A3" r:id="rId2" display="../TN/LAWRENCE/PROJECTS/M709259" xr:uid="{DB2EC82D-C5F2-4A7E-BA4C-8D7422DE1EB1}"/>
    <hyperlink ref="A5" r:id="rId3" display="../IL/KANE/Projects/M709146" xr:uid="{82B0690E-A8CE-4F81-861C-E649EAB8C510}"/>
  </hyperlinks>
  <pageMargins left="0.7" right="0.7" top="0.75" bottom="0.75" header="0.3" footer="0.3"/>
  <pageSetup orientation="portrait"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errorTitle="NULL" error="Caught data validation issue; Enter correct value." xr:uid="{718C876E-67F9-464A-88F4-C64A0391E2E2}">
          <x14:formula1>
            <xm:f>Rules!$B$1:$B$7</xm:f>
          </x14:formula1>
          <xm:sqref>J2:J6</xm:sqref>
        </x14:dataValidation>
        <x14:dataValidation type="list" showDropDown="1" showInputMessage="1" showErrorMessage="1" promptTitle="STATE INDEX" prompt="Must be a specific state abbrev." xr:uid="{9BBB5362-A729-44B4-A7D8-D36D880D4989}">
          <x14:formula1>
            <xm:f>Rules!$D$1:$D$52</xm:f>
          </x14:formula1>
          <xm:sqref>D3:D6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D25A5-D246-4F51-A926-8ED0D90993A5}">
  <sheetPr codeName="Sheet2">
    <tabColor rgb="FF92D050"/>
  </sheetPr>
  <dimension ref="A1:D52"/>
  <sheetViews>
    <sheetView workbookViewId="0">
      <selection activeCell="B1" sqref="B1:B7"/>
    </sheetView>
  </sheetViews>
  <sheetFormatPr defaultRowHeight="14.5" x14ac:dyDescent="0.35"/>
  <cols>
    <col min="4" max="4" width="8.81640625" style="26"/>
  </cols>
  <sheetData>
    <row r="1" spans="1:4" x14ac:dyDescent="0.35">
      <c r="A1" t="s">
        <v>18</v>
      </c>
      <c r="B1" t="s">
        <v>16</v>
      </c>
      <c r="C1" t="s">
        <v>30</v>
      </c>
      <c r="D1" s="27" t="s">
        <v>42</v>
      </c>
    </row>
    <row r="2" spans="1:4" x14ac:dyDescent="0.35">
      <c r="A2" t="s">
        <v>19</v>
      </c>
      <c r="B2" s="19" t="s">
        <v>25</v>
      </c>
      <c r="C2" t="s">
        <v>31</v>
      </c>
      <c r="D2" s="27" t="s">
        <v>60</v>
      </c>
    </row>
    <row r="3" spans="1:4" x14ac:dyDescent="0.35">
      <c r="A3" t="s">
        <v>20</v>
      </c>
      <c r="B3" s="19" t="s">
        <v>26</v>
      </c>
      <c r="C3" t="s">
        <v>32</v>
      </c>
      <c r="D3" s="27" t="s">
        <v>29</v>
      </c>
    </row>
    <row r="4" spans="1:4" x14ac:dyDescent="0.35">
      <c r="A4" t="s">
        <v>21</v>
      </c>
      <c r="B4" s="19" t="s">
        <v>27</v>
      </c>
      <c r="D4" s="27" t="s">
        <v>61</v>
      </c>
    </row>
    <row r="5" spans="1:4" x14ac:dyDescent="0.35">
      <c r="A5" t="s">
        <v>22</v>
      </c>
      <c r="B5" s="19" t="s">
        <v>28</v>
      </c>
      <c r="D5" s="27" t="s">
        <v>25</v>
      </c>
    </row>
    <row r="6" spans="1:4" x14ac:dyDescent="0.35">
      <c r="B6" s="19" t="s">
        <v>29</v>
      </c>
      <c r="D6" s="27" t="s">
        <v>62</v>
      </c>
    </row>
    <row r="7" spans="1:4" x14ac:dyDescent="0.35">
      <c r="B7" s="19" t="s">
        <v>33</v>
      </c>
      <c r="D7" s="27" t="s">
        <v>27</v>
      </c>
    </row>
    <row r="8" spans="1:4" x14ac:dyDescent="0.35">
      <c r="D8" s="27" t="s">
        <v>63</v>
      </c>
    </row>
    <row r="9" spans="1:4" x14ac:dyDescent="0.35">
      <c r="D9" s="27" t="s">
        <v>64</v>
      </c>
    </row>
    <row r="10" spans="1:4" x14ac:dyDescent="0.35">
      <c r="D10" s="27" t="s">
        <v>65</v>
      </c>
    </row>
    <row r="11" spans="1:4" x14ac:dyDescent="0.35">
      <c r="D11" s="27" t="s">
        <v>66</v>
      </c>
    </row>
    <row r="12" spans="1:4" x14ac:dyDescent="0.35">
      <c r="D12" s="27" t="s">
        <v>67</v>
      </c>
    </row>
    <row r="13" spans="1:4" x14ac:dyDescent="0.35">
      <c r="D13" s="27" t="s">
        <v>68</v>
      </c>
    </row>
    <row r="14" spans="1:4" x14ac:dyDescent="0.35">
      <c r="D14" s="27" t="s">
        <v>44</v>
      </c>
    </row>
    <row r="15" spans="1:4" x14ac:dyDescent="0.35">
      <c r="D15" s="27" t="s">
        <v>69</v>
      </c>
    </row>
    <row r="16" spans="1:4" x14ac:dyDescent="0.35">
      <c r="D16" s="27" t="s">
        <v>70</v>
      </c>
    </row>
    <row r="17" spans="4:4" x14ac:dyDescent="0.35">
      <c r="D17" s="27" t="s">
        <v>71</v>
      </c>
    </row>
    <row r="18" spans="4:4" x14ac:dyDescent="0.35">
      <c r="D18" s="27" t="s">
        <v>72</v>
      </c>
    </row>
    <row r="19" spans="4:4" x14ac:dyDescent="0.35">
      <c r="D19" s="27" t="s">
        <v>73</v>
      </c>
    </row>
    <row r="20" spans="4:4" x14ac:dyDescent="0.35">
      <c r="D20" s="27" t="s">
        <v>74</v>
      </c>
    </row>
    <row r="21" spans="4:4" x14ac:dyDescent="0.35">
      <c r="D21" s="27" t="s">
        <v>75</v>
      </c>
    </row>
    <row r="22" spans="4:4" x14ac:dyDescent="0.35">
      <c r="D22" s="27" t="s">
        <v>76</v>
      </c>
    </row>
    <row r="23" spans="4:4" x14ac:dyDescent="0.35">
      <c r="D23" s="27" t="s">
        <v>77</v>
      </c>
    </row>
    <row r="24" spans="4:4" x14ac:dyDescent="0.35">
      <c r="D24" s="27" t="s">
        <v>28</v>
      </c>
    </row>
    <row r="25" spans="4:4" x14ac:dyDescent="0.35">
      <c r="D25" s="27" t="s">
        <v>78</v>
      </c>
    </row>
    <row r="26" spans="4:4" x14ac:dyDescent="0.35">
      <c r="D26" s="27" t="s">
        <v>79</v>
      </c>
    </row>
    <row r="27" spans="4:4" x14ac:dyDescent="0.35">
      <c r="D27" s="27" t="s">
        <v>80</v>
      </c>
    </row>
    <row r="28" spans="4:4" x14ac:dyDescent="0.35">
      <c r="D28" s="28" t="s">
        <v>100</v>
      </c>
    </row>
    <row r="29" spans="4:4" x14ac:dyDescent="0.35">
      <c r="D29" s="27" t="s">
        <v>26</v>
      </c>
    </row>
    <row r="30" spans="4:4" x14ac:dyDescent="0.35">
      <c r="D30" s="27" t="s">
        <v>81</v>
      </c>
    </row>
    <row r="31" spans="4:4" x14ac:dyDescent="0.35">
      <c r="D31" s="27" t="s">
        <v>33</v>
      </c>
    </row>
    <row r="32" spans="4:4" x14ac:dyDescent="0.35">
      <c r="D32" s="27" t="s">
        <v>82</v>
      </c>
    </row>
    <row r="33" spans="4:4" x14ac:dyDescent="0.35">
      <c r="D33" s="27" t="s">
        <v>83</v>
      </c>
    </row>
    <row r="34" spans="4:4" x14ac:dyDescent="0.35">
      <c r="D34" s="27" t="s">
        <v>84</v>
      </c>
    </row>
    <row r="35" spans="4:4" x14ac:dyDescent="0.35">
      <c r="D35" s="27" t="s">
        <v>85</v>
      </c>
    </row>
    <row r="36" spans="4:4" x14ac:dyDescent="0.35">
      <c r="D36" s="27" t="s">
        <v>86</v>
      </c>
    </row>
    <row r="37" spans="4:4" x14ac:dyDescent="0.35">
      <c r="D37" s="27" t="s">
        <v>87</v>
      </c>
    </row>
    <row r="38" spans="4:4" x14ac:dyDescent="0.35">
      <c r="D38" s="27" t="s">
        <v>88</v>
      </c>
    </row>
    <row r="39" spans="4:4" x14ac:dyDescent="0.35">
      <c r="D39" s="27" t="s">
        <v>89</v>
      </c>
    </row>
    <row r="40" spans="4:4" x14ac:dyDescent="0.35">
      <c r="D40" s="27" t="s">
        <v>90</v>
      </c>
    </row>
    <row r="41" spans="4:4" x14ac:dyDescent="0.35">
      <c r="D41" s="27" t="s">
        <v>91</v>
      </c>
    </row>
    <row r="42" spans="4:4" x14ac:dyDescent="0.35">
      <c r="D42" s="27" t="s">
        <v>92</v>
      </c>
    </row>
    <row r="43" spans="4:4" x14ac:dyDescent="0.35">
      <c r="D43" s="27" t="s">
        <v>93</v>
      </c>
    </row>
    <row r="44" spans="4:4" x14ac:dyDescent="0.35">
      <c r="D44" s="27" t="s">
        <v>51</v>
      </c>
    </row>
    <row r="45" spans="4:4" x14ac:dyDescent="0.35">
      <c r="D45" s="27" t="s">
        <v>35</v>
      </c>
    </row>
    <row r="46" spans="4:4" x14ac:dyDescent="0.35">
      <c r="D46" s="27" t="s">
        <v>94</v>
      </c>
    </row>
    <row r="47" spans="4:4" x14ac:dyDescent="0.35">
      <c r="D47" s="27" t="s">
        <v>95</v>
      </c>
    </row>
    <row r="48" spans="4:4" x14ac:dyDescent="0.35">
      <c r="D48" s="27" t="s">
        <v>48</v>
      </c>
    </row>
    <row r="49" spans="4:4" x14ac:dyDescent="0.35">
      <c r="D49" s="27" t="s">
        <v>96</v>
      </c>
    </row>
    <row r="50" spans="4:4" x14ac:dyDescent="0.35">
      <c r="D50" s="27" t="s">
        <v>97</v>
      </c>
    </row>
    <row r="51" spans="4:4" x14ac:dyDescent="0.35">
      <c r="D51" s="27" t="s">
        <v>98</v>
      </c>
    </row>
    <row r="52" spans="4:4" x14ac:dyDescent="0.35">
      <c r="D52" s="27" t="s">
        <v>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Completed</vt:lpstr>
      <vt:lpstr>Rules</vt:lpstr>
      <vt:lpstr>Flag</vt:lpstr>
      <vt:lpstr>Flag1</vt:lpstr>
      <vt:lpstr>FlagState</vt:lpstr>
      <vt:lpstr>FlagStates</vt:lpstr>
      <vt:lpstr>TypeList</vt:lpstr>
    </vt:vector>
  </TitlesOfParts>
  <Company>Intrado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jknight</dc:creator>
  <cp:lastModifiedBy>Thomas, Edward</cp:lastModifiedBy>
  <dcterms:created xsi:type="dcterms:W3CDTF">2018-10-08T14:13:41Z</dcterms:created>
  <dcterms:modified xsi:type="dcterms:W3CDTF">2021-08-30T20:05:59Z</dcterms:modified>
</cp:coreProperties>
</file>